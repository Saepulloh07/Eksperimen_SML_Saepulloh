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ksperimen_SML_Saepulloh\namadataset_raw\"/>
    </mc:Choice>
  </mc:AlternateContent>
  <xr:revisionPtr revIDLastSave="0" documentId="13_ncr:1_{92DBD2DD-F797-4730-980F-05B1F4065BB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O" sheetId="37" r:id="rId1"/>
    <sheet name="TRANSFERAN" sheetId="56" r:id="rId2"/>
  </sheets>
  <definedNames>
    <definedName name="_xlnm.Print_Area" localSheetId="0">TO!$A$1:$L$99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8" i="37" l="1"/>
  <c r="H88" i="37"/>
  <c r="G88" i="37"/>
  <c r="F88" i="37"/>
  <c r="E88" i="37"/>
  <c r="D88" i="37"/>
  <c r="J87" i="37"/>
  <c r="J86" i="37"/>
  <c r="J85" i="37"/>
  <c r="J84" i="37"/>
  <c r="J83" i="37"/>
  <c r="J82" i="37"/>
  <c r="J81" i="37"/>
  <c r="J80" i="37"/>
  <c r="J79" i="37"/>
  <c r="J78" i="37"/>
  <c r="J77" i="37"/>
  <c r="J76" i="37"/>
  <c r="J75" i="37"/>
  <c r="J74" i="37"/>
  <c r="J73" i="37"/>
  <c r="J72" i="37"/>
  <c r="J71" i="37"/>
  <c r="J70" i="37"/>
  <c r="J69" i="37"/>
  <c r="J68" i="37"/>
  <c r="J67" i="37"/>
  <c r="J66" i="37"/>
  <c r="J65" i="37"/>
  <c r="J64" i="37"/>
  <c r="J63" i="37"/>
  <c r="J62" i="37"/>
  <c r="J61" i="37"/>
  <c r="J60" i="37"/>
  <c r="J59" i="37"/>
  <c r="J58" i="37"/>
  <c r="J57" i="37"/>
  <c r="J56" i="37"/>
  <c r="J55" i="37"/>
  <c r="J54" i="37"/>
  <c r="J53" i="37"/>
  <c r="J52" i="37"/>
  <c r="J51" i="37"/>
  <c r="J50" i="37"/>
  <c r="J49" i="37"/>
  <c r="J48" i="37"/>
  <c r="J47" i="37"/>
  <c r="J46" i="37"/>
  <c r="J45" i="37"/>
  <c r="J44" i="37"/>
  <c r="J43" i="37"/>
  <c r="J42" i="37"/>
  <c r="J41" i="37"/>
  <c r="J40" i="37"/>
  <c r="J39" i="37"/>
  <c r="J38" i="37"/>
  <c r="J37" i="37"/>
  <c r="J36" i="37"/>
  <c r="J35" i="37"/>
  <c r="J34" i="37"/>
  <c r="J33" i="37"/>
  <c r="J32" i="37"/>
  <c r="J31" i="37"/>
  <c r="J30" i="37"/>
  <c r="J29" i="37"/>
  <c r="J28" i="37"/>
  <c r="J27" i="37"/>
  <c r="J26" i="37"/>
  <c r="J25" i="37"/>
  <c r="J24" i="37"/>
  <c r="J23" i="37"/>
  <c r="J22" i="37"/>
  <c r="J21" i="37"/>
  <c r="J20" i="37"/>
  <c r="J19" i="37"/>
  <c r="J18" i="37"/>
  <c r="J17" i="37"/>
  <c r="J16" i="37"/>
  <c r="J15" i="37"/>
  <c r="J14" i="37"/>
  <c r="J13" i="37"/>
  <c r="J12" i="37"/>
  <c r="J11" i="37"/>
  <c r="J10" i="37"/>
  <c r="J9" i="37"/>
  <c r="J8" i="37"/>
  <c r="J7" i="37"/>
  <c r="J6" i="37"/>
  <c r="J88" i="37" s="1"/>
  <c r="J117" i="56" l="1"/>
  <c r="I117" i="56"/>
  <c r="H117" i="56"/>
  <c r="G117" i="56"/>
  <c r="F117" i="56"/>
  <c r="E117" i="56"/>
  <c r="D117" i="56"/>
  <c r="D118" i="56" s="1"/>
</calcChain>
</file>

<file path=xl/sharedStrings.xml><?xml version="1.0" encoding="utf-8"?>
<sst xmlns="http://schemas.openxmlformats.org/spreadsheetml/2006/main" count="246" uniqueCount="232">
  <si>
    <t>No</t>
  </si>
  <si>
    <t>Nama Pasien</t>
  </si>
  <si>
    <t>Diketahui Oleh</t>
  </si>
  <si>
    <t>Disahkan Oleh</t>
  </si>
  <si>
    <t>Direktur</t>
  </si>
  <si>
    <t>Dibuat Oleh</t>
  </si>
  <si>
    <t>TOTAL</t>
  </si>
  <si>
    <t>Tanggal Transaksi</t>
  </si>
  <si>
    <t>KET</t>
  </si>
  <si>
    <t xml:space="preserve">Maharani Shilmina Hanum, S.Ak </t>
  </si>
  <si>
    <t>NO</t>
  </si>
  <si>
    <t>dr. Doddy Pratama, Sp. OG</t>
  </si>
  <si>
    <t>dr. Desvavri, MPH, CHMC</t>
  </si>
  <si>
    <t xml:space="preserve">Adm. Keuangan </t>
  </si>
  <si>
    <r>
      <rPr>
        <b/>
        <sz val="14"/>
        <color theme="1"/>
        <rFont val="Times New Roman"/>
        <family val="1"/>
      </rPr>
      <t xml:space="preserve">LAPORAN PENDAPATAN HARIAN KASIR </t>
    </r>
    <r>
      <rPr>
        <b/>
        <u/>
        <sz val="14"/>
        <color theme="1"/>
        <rFont val="Times New Roman"/>
        <family val="1"/>
      </rPr>
      <t>(PASIEN TIDAK AMBIL OBAT)</t>
    </r>
  </si>
  <si>
    <t>TGL</t>
  </si>
  <si>
    <t>NAMA PASIEN</t>
  </si>
  <si>
    <t>BIAYA</t>
  </si>
  <si>
    <t>KONSUL</t>
  </si>
  <si>
    <t>ADM</t>
  </si>
  <si>
    <t>T.VERBAN</t>
  </si>
  <si>
    <t>INSP</t>
  </si>
  <si>
    <t>USG V</t>
  </si>
  <si>
    <t>USG (2/4) D</t>
  </si>
  <si>
    <t>Plt. Kabid Keuangan</t>
  </si>
  <si>
    <t>Nova Veronika, SE, Sy</t>
  </si>
  <si>
    <t>Data Pembayaran Transfer</t>
  </si>
  <si>
    <t>ASAL</t>
  </si>
  <si>
    <t>Poli OBGYN</t>
  </si>
  <si>
    <t>Poli Anak</t>
  </si>
  <si>
    <t>IGD</t>
  </si>
  <si>
    <t>Ranap IBU &amp; Bayi</t>
  </si>
  <si>
    <t>Ranap Anak</t>
  </si>
  <si>
    <t>Lainnya</t>
  </si>
  <si>
    <t>Pijat Laktasi</t>
  </si>
  <si>
    <t xml:space="preserve">IRAL </t>
  </si>
  <si>
    <t>RUMAISHA AZZAHWA</t>
  </si>
  <si>
    <t>ANNISAUL KHAIRAT</t>
  </si>
  <si>
    <t>ERJA WHULAN SARI</t>
  </si>
  <si>
    <t>NURHAYATI</t>
  </si>
  <si>
    <t xml:space="preserve">LIDYA AGUSTIN  </t>
  </si>
  <si>
    <t xml:space="preserve">AMIA LUGITA </t>
  </si>
  <si>
    <t xml:space="preserve">ZAKIAH TUSSYIANI </t>
  </si>
  <si>
    <t xml:space="preserve">FARISA RYAZ </t>
  </si>
  <si>
    <t>AZIZAH AULIA FATMA</t>
  </si>
  <si>
    <t>NURVALA</t>
  </si>
  <si>
    <t>PADMALA SARI</t>
  </si>
  <si>
    <t xml:space="preserve">WIDYA NOVIANI </t>
  </si>
  <si>
    <t xml:space="preserve">HENY APRIYANI </t>
  </si>
  <si>
    <t xml:space="preserve">ELSA SEPTIA </t>
  </si>
  <si>
    <t xml:space="preserve">ANNISA QUNTUM KHAIRA </t>
  </si>
  <si>
    <t xml:space="preserve">SHERLY ANDRINI </t>
  </si>
  <si>
    <t>FAUZIA</t>
  </si>
  <si>
    <t xml:space="preserve">SRI DIANA YETRI </t>
  </si>
  <si>
    <t>RESKI EMILIA</t>
  </si>
  <si>
    <t xml:space="preserve">RAHMA NELLA </t>
  </si>
  <si>
    <t>ROSFALIZA NOVIA</t>
  </si>
  <si>
    <t>MUVIDHA LEDIANI</t>
  </si>
  <si>
    <t>PUTRI YOELANDA OKTARIMA</t>
  </si>
  <si>
    <t>KURNIA AFRINDA</t>
  </si>
  <si>
    <t>RAHMA</t>
  </si>
  <si>
    <t>INDY JULIA NELVIRA</t>
  </si>
  <si>
    <t xml:space="preserve">SUCI RAMADHANI </t>
  </si>
  <si>
    <t xml:space="preserve">MINARTI JUWITA </t>
  </si>
  <si>
    <t xml:space="preserve">OKTAWILA CYNTHIA </t>
  </si>
  <si>
    <t>ELISA</t>
  </si>
  <si>
    <t>RAHMI</t>
  </si>
  <si>
    <t xml:space="preserve">DARMI YENTI </t>
  </si>
  <si>
    <t>ANNA IVAI KESIA SIRAIT</t>
  </si>
  <si>
    <t>ANNISA QUNTUM KHAIRA</t>
  </si>
  <si>
    <t xml:space="preserve">SUCI AZANI PUTRI </t>
  </si>
  <si>
    <t xml:space="preserve">HILDA LISYANDI </t>
  </si>
  <si>
    <t xml:space="preserve">DEWI SUSANTI JUSIR </t>
  </si>
  <si>
    <t xml:space="preserve">APRILY AYU ARISKA </t>
  </si>
  <si>
    <t>FATMAWATI</t>
  </si>
  <si>
    <t>NOVA RINA</t>
  </si>
  <si>
    <t xml:space="preserve">OCKTAVIRA MARLIDA </t>
  </si>
  <si>
    <t>AFFIFAH FADILLAH</t>
  </si>
  <si>
    <t xml:space="preserve">MUTIARA DEYANTI </t>
  </si>
  <si>
    <t>DAHLIANA ALI</t>
  </si>
  <si>
    <t xml:space="preserve">WELLA ANDESTI </t>
  </si>
  <si>
    <t xml:space="preserve">ANESA BONITA </t>
  </si>
  <si>
    <t>ILCHA NOVA HENDRI</t>
  </si>
  <si>
    <t xml:space="preserve">MULYANI </t>
  </si>
  <si>
    <t xml:space="preserve">VENY FRISKA </t>
  </si>
  <si>
    <t>SILVIA RAHMATUL PUTRI</t>
  </si>
  <si>
    <t>OETARI MAICHELINA</t>
  </si>
  <si>
    <t>SRI DEWI WULANDARI</t>
  </si>
  <si>
    <t>SUCI AZANI PUTRI</t>
  </si>
  <si>
    <t>WULAN AGUSTIN</t>
  </si>
  <si>
    <t xml:space="preserve">MAULIDIA EKA PUTRI </t>
  </si>
  <si>
    <t xml:space="preserve">SENJA </t>
  </si>
  <si>
    <t>RESTI PUTRI SUSILA WATI</t>
  </si>
  <si>
    <t xml:space="preserve">ANNA IVAI KESIA SIRAIT </t>
  </si>
  <si>
    <t>METRI KEMALA SARI</t>
  </si>
  <si>
    <t xml:space="preserve">ASMAUL HUSNA </t>
  </si>
  <si>
    <t>ROELA ANGGELINA</t>
  </si>
  <si>
    <t>ULLY OKTERINI</t>
  </si>
  <si>
    <t xml:space="preserve">HANNA NADHIRATTUL ISRA </t>
  </si>
  <si>
    <t xml:space="preserve">ELVARA ARTHA APRYXELLE </t>
  </si>
  <si>
    <t>OPPIE GUSRINALDI</t>
  </si>
  <si>
    <t>AZKA MILLATINA</t>
  </si>
  <si>
    <t>SATRI MULYA</t>
  </si>
  <si>
    <t xml:space="preserve">SRI RAMADHONNA </t>
  </si>
  <si>
    <t>ELVIRA JHONESTI</t>
  </si>
  <si>
    <t>INTAN PERTIWI INDRA</t>
  </si>
  <si>
    <t>VITRIA WAHYUNI</t>
  </si>
  <si>
    <t>YEFRINA RISKA</t>
  </si>
  <si>
    <t>MUTIA FEBRINA</t>
  </si>
  <si>
    <t xml:space="preserve">GITA RAHMA YANTI </t>
  </si>
  <si>
    <t>SHAKEEL RAJA ALSADY</t>
  </si>
  <si>
    <t>AKHTARA ZYAN NANDANI</t>
  </si>
  <si>
    <t>WIKA APRILIA</t>
  </si>
  <si>
    <t>EVI ERIANTI</t>
  </si>
  <si>
    <t xml:space="preserve">HELMALIA FITRAH </t>
  </si>
  <si>
    <t>ANGRAINI DABOTI</t>
  </si>
  <si>
    <t>SRI RAMADHONNA</t>
  </si>
  <si>
    <t xml:space="preserve">MIKE HANDAYANI </t>
  </si>
  <si>
    <t>RIKA MARSELLA</t>
  </si>
  <si>
    <t xml:space="preserve">PUJANGGA </t>
  </si>
  <si>
    <t>FAUZIAH FADILA</t>
  </si>
  <si>
    <t>C. MERRY KUSUMAWATI</t>
  </si>
  <si>
    <t>NAZHIFAH RAHMI</t>
  </si>
  <si>
    <t>INDAH PURNAMA SARI</t>
  </si>
  <si>
    <t xml:space="preserve">DELLA RAHMA DANI </t>
  </si>
  <si>
    <t>BAMA YULIA AFNIKA</t>
  </si>
  <si>
    <t>Poli DVE</t>
  </si>
  <si>
    <t xml:space="preserve">Imunisasi </t>
  </si>
  <si>
    <t xml:space="preserve">Laboratorium </t>
  </si>
  <si>
    <t xml:space="preserve">AZKIO RISKI AL ZAYN </t>
  </si>
  <si>
    <t>Korset 1 pcs</t>
  </si>
  <si>
    <t>Toko</t>
  </si>
  <si>
    <t>CALLUNA ANASERA MAHREEN</t>
  </si>
  <si>
    <t>WAFIQ MAULANA SYAZA</t>
  </si>
  <si>
    <t xml:space="preserve">NADIATUL KHAIR </t>
  </si>
  <si>
    <t>TISFA ADNILA</t>
  </si>
  <si>
    <t xml:space="preserve">Obat Bebas Apotik </t>
  </si>
  <si>
    <t>Obat Bebas</t>
  </si>
  <si>
    <t>CSSD RS Fadhila</t>
  </si>
  <si>
    <t>Steril Alat</t>
  </si>
  <si>
    <t xml:space="preserve">By ZAHRA FERLANIKA </t>
  </si>
  <si>
    <t>WINDA NOVIANA</t>
  </si>
  <si>
    <t>CSSD RD Fadhila</t>
  </si>
  <si>
    <t xml:space="preserve">Steril Alat </t>
  </si>
  <si>
    <t>QUEEN HANA ALMEERA</t>
  </si>
  <si>
    <t xml:space="preserve">SHAZIA KALILA AMANI </t>
  </si>
  <si>
    <t xml:space="preserve">BERYL HAMIZAN ARIF </t>
  </si>
  <si>
    <t>CSSD Fadilla 18 mei 2026</t>
  </si>
  <si>
    <t>Obat Bebas Bu Oki</t>
  </si>
  <si>
    <t>RENTI YULIA</t>
  </si>
  <si>
    <t>Obat Bebas Bu OKI</t>
  </si>
  <si>
    <t>ARRASYA KHALIFANO BALKA</t>
  </si>
  <si>
    <t>OBAT BEBAS a/n Henny</t>
  </si>
  <si>
    <t>KEAN  &amp;  HUMAIRA</t>
  </si>
  <si>
    <t>By SRI RAMADHONNA</t>
  </si>
  <si>
    <t>Obat Bebas Apotik Buk KK</t>
  </si>
  <si>
    <t>112 PASIEN</t>
  </si>
  <si>
    <t>RATNA AYU LESTARI</t>
  </si>
  <si>
    <t xml:space="preserve">MEGA EMELIA </t>
  </si>
  <si>
    <t>JIHAN DELLA ANANDA</t>
  </si>
  <si>
    <t>ROZA MELIA AFRIANA</t>
  </si>
  <si>
    <t>KESSY RAMA DILLA</t>
  </si>
  <si>
    <t>NOVA NURFUADDY</t>
  </si>
  <si>
    <t xml:space="preserve">ANGGUN PUTRI SAFERA </t>
  </si>
  <si>
    <t xml:space="preserve">DEBI DWI AMANDA </t>
  </si>
  <si>
    <t xml:space="preserve">DELWINA PUTRI </t>
  </si>
  <si>
    <t xml:space="preserve">WINNA DWI SETYA </t>
  </si>
  <si>
    <t>SUCI RHAMADHILLA</t>
  </si>
  <si>
    <t xml:space="preserve">MIFTAHUL JANNAH </t>
  </si>
  <si>
    <t>CHENI WULANDARI</t>
  </si>
  <si>
    <t>AMELIA</t>
  </si>
  <si>
    <t xml:space="preserve">WEZZY ARISANDI </t>
  </si>
  <si>
    <t>NURAINI</t>
  </si>
  <si>
    <t>RINI SRI MULIANI</t>
  </si>
  <si>
    <t>WILDAYANTI</t>
  </si>
  <si>
    <t>RARA YULIA</t>
  </si>
  <si>
    <t>UMMUL KHAIR</t>
  </si>
  <si>
    <t>RINA SURIANTI</t>
  </si>
  <si>
    <t>SRI YENI ALNITA</t>
  </si>
  <si>
    <t xml:space="preserve">MELISA </t>
  </si>
  <si>
    <t>MAYANG SARI</t>
  </si>
  <si>
    <t xml:space="preserve">  </t>
  </si>
  <si>
    <t xml:space="preserve">TANIA DESY RAMADHANI </t>
  </si>
  <si>
    <t xml:space="preserve">LIBBA SUTAQWA </t>
  </si>
  <si>
    <t xml:space="preserve">MUTIARA SUKMA ARDI </t>
  </si>
  <si>
    <t xml:space="preserve">SILATURRAHMI </t>
  </si>
  <si>
    <t xml:space="preserve">ZULHIKMA </t>
  </si>
  <si>
    <t xml:space="preserve">YANA SYUKRA </t>
  </si>
  <si>
    <t xml:space="preserve">IDA TRIWATI </t>
  </si>
  <si>
    <t xml:space="preserve">KISNAWATI </t>
  </si>
  <si>
    <t>FIRA RAHMA SARI</t>
  </si>
  <si>
    <t>MELLISA ZASKIA</t>
  </si>
  <si>
    <t>ANISA SYAFITRI</t>
  </si>
  <si>
    <t xml:space="preserve">SARI NANDO </t>
  </si>
  <si>
    <t>FIFI ZIKRILLAH</t>
  </si>
  <si>
    <t>AMELIA SYAFITRI</t>
  </si>
  <si>
    <t>CHINDY WULANDARI</t>
  </si>
  <si>
    <t xml:space="preserve">AYU WANDINI </t>
  </si>
  <si>
    <t>MITA PABIOLA PUTRI</t>
  </si>
  <si>
    <t xml:space="preserve">ANGGI PUTRI </t>
  </si>
  <si>
    <t>MAHIDAYATI</t>
  </si>
  <si>
    <t>RUBINA BR TARIGAN</t>
  </si>
  <si>
    <t>SARAH SHANTIA</t>
  </si>
  <si>
    <t>KRISNA PERMATASARI</t>
  </si>
  <si>
    <t>NABILA HASANAH</t>
  </si>
  <si>
    <t>RASMITA PUTRI</t>
  </si>
  <si>
    <t>REZANA AURA PUTRI</t>
  </si>
  <si>
    <t xml:space="preserve">VIVI SANDRA </t>
  </si>
  <si>
    <t>RANI HUTRI CIA</t>
  </si>
  <si>
    <t>DEBI SINTIA DEWI</t>
  </si>
  <si>
    <t xml:space="preserve">WINNA ANGGRAENI </t>
  </si>
  <si>
    <t>GUSTINA SRI WIDIAWATI</t>
  </si>
  <si>
    <t xml:space="preserve">MERI UTARI </t>
  </si>
  <si>
    <t xml:space="preserve">FITRI WULANDARI </t>
  </si>
  <si>
    <t>IIM SYAHIDA ZURIFA foc dr. Doddy</t>
  </si>
  <si>
    <t>TARI ISTIANI</t>
  </si>
  <si>
    <t>YORA DARISMAN</t>
  </si>
  <si>
    <t>NOVITA SARI</t>
  </si>
  <si>
    <t>RICHA SEPTIANA</t>
  </si>
  <si>
    <t>YURNIATI</t>
  </si>
  <si>
    <t xml:space="preserve">NIA PUSPITA SARI </t>
  </si>
  <si>
    <t>DIANA AULIA SYUHADA</t>
  </si>
  <si>
    <t>YULIA PRANCISTA</t>
  </si>
  <si>
    <t>MELA YOLANDA</t>
  </si>
  <si>
    <t>SALWA SYASKIA</t>
  </si>
  <si>
    <t>HUSNITA HERLINDA</t>
  </si>
  <si>
    <t>EMILDA AYU PERTIWI</t>
  </si>
  <si>
    <t xml:space="preserve">MUSTIKA LELI RAHAYU </t>
  </si>
  <si>
    <t>LINDA SYOFIA MELATI</t>
  </si>
  <si>
    <t>LAHYA RAMA FITRI</t>
  </si>
  <si>
    <t>AULIA RAHMADANI</t>
  </si>
  <si>
    <t>YANTI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</si>
</sst>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&quot;Rp&quot;* #,##0_-;\-&quot;Rp&quot;* #,##0_-;_-&quot;Rp&quot;* &quot;-&quot;_-;_-@_-"/>
    <numFmt numFmtId="165" formatCode="_(&quot;Rp&quot;* #,##0_);_(&quot;Rp&quot;* \(#,##0\);_(&quot;Rp&quot;* &quot;-&quot;_);_(@_)"/>
    <numFmt numFmtId="166" formatCode="yyyy/mm/dd;@"/>
    <numFmt numFmtId="167" formatCode="mmm/yy"/>
    <numFmt numFmtId="169" formatCode="_(* #,##0_);_(* \(#,##0\);_(* &quot;-&quot;??_);_(@_)"/>
  </numFmts>
  <fonts count="21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 tint="4.9989318521683403E-2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 tint="4.9989318521683403E-2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sz val="10"/>
      <color theme="1" tint="4.9989318521683403E-2"/>
      <name val="Times New Roman"/>
      <family val="1"/>
    </font>
    <font>
      <sz val="11"/>
      <color theme="1" tint="4.9989318521683403E-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2"/>
      <color rgb="FF0070C0"/>
      <name val="Times New Roman"/>
      <family val="1"/>
    </font>
    <font>
      <b/>
      <sz val="12"/>
      <name val="Times New Roman"/>
      <family val="1"/>
    </font>
    <font>
      <b/>
      <sz val="12"/>
      <color theme="1" tint="4.9989318521683403E-2"/>
      <name val="Times New Roman"/>
      <family val="1"/>
    </font>
    <font>
      <b/>
      <sz val="26"/>
      <color theme="1" tint="4.9989318521683403E-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B0F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165" fontId="11" fillId="2" borderId="1" xfId="2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0" xfId="1" applyNumberFormat="1" applyFont="1" applyBorder="1" applyAlignment="1">
      <alignment horizontal="center" vertical="center"/>
    </xf>
    <xf numFmtId="164" fontId="3" fillId="0" borderId="0" xfId="1" applyNumberFormat="1" applyFont="1" applyBorder="1" applyAlignment="1">
      <alignment vertical="center" wrapText="1"/>
    </xf>
    <xf numFmtId="165" fontId="3" fillId="2" borderId="0" xfId="0" applyNumberFormat="1" applyFont="1" applyFill="1"/>
    <xf numFmtId="165" fontId="4" fillId="0" borderId="0" xfId="2" applyFont="1" applyBorder="1" applyAlignment="1">
      <alignment horizontal="center" vertical="center"/>
    </xf>
    <xf numFmtId="0" fontId="14" fillId="0" borderId="0" xfId="0" applyFont="1"/>
    <xf numFmtId="169" fontId="3" fillId="0" borderId="0" xfId="1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4" fontId="10" fillId="2" borderId="1" xfId="0" applyNumberFormat="1" applyFont="1" applyFill="1" applyBorder="1" applyAlignment="1">
      <alignment vertical="center"/>
    </xf>
    <xf numFmtId="164" fontId="10" fillId="2" borderId="2" xfId="0" applyNumberFormat="1" applyFont="1" applyFill="1" applyBorder="1" applyAlignment="1">
      <alignment vertical="center"/>
    </xf>
    <xf numFmtId="166" fontId="4" fillId="3" borderId="18" xfId="0" applyNumberFormat="1" applyFont="1" applyFill="1" applyBorder="1" applyAlignment="1">
      <alignment horizontal="center" vertical="center" wrapText="1"/>
    </xf>
    <xf numFmtId="164" fontId="17" fillId="2" borderId="21" xfId="0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165" fontId="11" fillId="5" borderId="1" xfId="2" applyFont="1" applyFill="1" applyBorder="1" applyAlignment="1">
      <alignment horizontal="center" vertical="center"/>
    </xf>
    <xf numFmtId="0" fontId="2" fillId="0" borderId="0" xfId="0" applyFont="1"/>
    <xf numFmtId="166" fontId="4" fillId="3" borderId="28" xfId="0" applyNumberFormat="1" applyFont="1" applyFill="1" applyBorder="1" applyAlignment="1">
      <alignment horizontal="center" vertical="center" wrapText="1"/>
    </xf>
    <xf numFmtId="166" fontId="4" fillId="3" borderId="19" xfId="0" applyNumberFormat="1" applyFont="1" applyFill="1" applyBorder="1" applyAlignment="1">
      <alignment horizontal="center" vertical="center" wrapText="1"/>
    </xf>
    <xf numFmtId="0" fontId="6" fillId="0" borderId="0" xfId="0" applyFont="1" applyProtection="1">
      <protection locked="0"/>
    </xf>
    <xf numFmtId="0" fontId="6" fillId="4" borderId="1" xfId="0" applyFont="1" applyFill="1" applyBorder="1" applyProtection="1">
      <protection locked="0"/>
    </xf>
    <xf numFmtId="0" fontId="12" fillId="0" borderId="26" xfId="0" applyFont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top"/>
    </xf>
    <xf numFmtId="165" fontId="11" fillId="6" borderId="1" xfId="2" applyFont="1" applyFill="1" applyBorder="1" applyAlignment="1">
      <alignment horizontal="center" vertical="center"/>
    </xf>
    <xf numFmtId="165" fontId="9" fillId="2" borderId="29" xfId="2" applyFont="1" applyFill="1" applyBorder="1" applyAlignment="1">
      <alignment horizontal="center" vertical="center"/>
    </xf>
    <xf numFmtId="0" fontId="6" fillId="0" borderId="1" xfId="0" applyFont="1" applyBorder="1"/>
    <xf numFmtId="14" fontId="12" fillId="2" borderId="1" xfId="0" applyNumberFormat="1" applyFont="1" applyFill="1" applyBorder="1" applyAlignment="1">
      <alignment horizontal="center" vertical="center" wrapText="1"/>
    </xf>
    <xf numFmtId="165" fontId="11" fillId="7" borderId="1" xfId="2" applyFont="1" applyFill="1" applyBorder="1" applyAlignment="1">
      <alignment horizontal="center" vertical="center"/>
    </xf>
    <xf numFmtId="165" fontId="11" fillId="8" borderId="1" xfId="2" applyFont="1" applyFill="1" applyBorder="1" applyAlignment="1">
      <alignment horizontal="center" vertical="center"/>
    </xf>
    <xf numFmtId="165" fontId="11" fillId="9" borderId="1" xfId="2" applyFont="1" applyFill="1" applyBorder="1" applyAlignment="1">
      <alignment horizontal="center" vertical="center"/>
    </xf>
    <xf numFmtId="165" fontId="11" fillId="10" borderId="1" xfId="2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165" fontId="11" fillId="2" borderId="30" xfId="2" applyFont="1" applyFill="1" applyBorder="1" applyAlignment="1">
      <alignment horizontal="center" vertical="center"/>
    </xf>
    <xf numFmtId="164" fontId="10" fillId="2" borderId="30" xfId="0" applyNumberFormat="1" applyFont="1" applyFill="1" applyBorder="1" applyAlignment="1">
      <alignment vertical="center"/>
    </xf>
    <xf numFmtId="165" fontId="19" fillId="3" borderId="16" xfId="2" applyFont="1" applyFill="1" applyBorder="1" applyAlignment="1">
      <alignment vertical="center"/>
    </xf>
    <xf numFmtId="165" fontId="19" fillId="3" borderId="31" xfId="2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14" fontId="10" fillId="5" borderId="34" xfId="0" applyNumberFormat="1" applyFont="1" applyFill="1" applyBorder="1" applyAlignment="1">
      <alignment horizontal="center" vertical="center"/>
    </xf>
    <xf numFmtId="164" fontId="10" fillId="2" borderId="5" xfId="0" applyNumberFormat="1" applyFont="1" applyFill="1" applyBorder="1" applyAlignment="1">
      <alignment vertical="center"/>
    </xf>
    <xf numFmtId="14" fontId="10" fillId="2" borderId="5" xfId="0" applyNumberFormat="1" applyFont="1" applyFill="1" applyBorder="1" applyAlignment="1">
      <alignment horizontal="center" vertical="center"/>
    </xf>
    <xf numFmtId="164" fontId="17" fillId="2" borderId="6" xfId="0" applyNumberFormat="1" applyFont="1" applyFill="1" applyBorder="1" applyAlignment="1">
      <alignment vertical="center"/>
    </xf>
    <xf numFmtId="164" fontId="17" fillId="2" borderId="8" xfId="0" applyNumberFormat="1" applyFont="1" applyFill="1" applyBorder="1" applyAlignment="1">
      <alignment vertical="center"/>
    </xf>
    <xf numFmtId="14" fontId="10" fillId="2" borderId="1" xfId="0" applyNumberFormat="1" applyFont="1" applyFill="1" applyBorder="1" applyAlignment="1">
      <alignment horizontal="left" vertical="center"/>
    </xf>
    <xf numFmtId="164" fontId="10" fillId="2" borderId="3" xfId="0" applyNumberFormat="1" applyFont="1" applyFill="1" applyBorder="1" applyAlignment="1">
      <alignment vertical="center"/>
    </xf>
    <xf numFmtId="164" fontId="10" fillId="2" borderId="9" xfId="0" applyNumberFormat="1" applyFont="1" applyFill="1" applyBorder="1" applyAlignment="1">
      <alignment vertical="center"/>
    </xf>
    <xf numFmtId="164" fontId="10" fillId="2" borderId="18" xfId="0" applyNumberFormat="1" applyFont="1" applyFill="1" applyBorder="1" applyAlignment="1">
      <alignment vertical="center"/>
    </xf>
    <xf numFmtId="164" fontId="17" fillId="2" borderId="19" xfId="0" applyNumberFormat="1" applyFont="1" applyFill="1" applyBorder="1" applyAlignment="1">
      <alignment vertical="center"/>
    </xf>
    <xf numFmtId="164" fontId="17" fillId="2" borderId="32" xfId="0" applyNumberFormat="1" applyFont="1" applyFill="1" applyBorder="1" applyAlignment="1">
      <alignment vertical="center"/>
    </xf>
    <xf numFmtId="164" fontId="10" fillId="12" borderId="9" xfId="0" applyNumberFormat="1" applyFont="1" applyFill="1" applyBorder="1" applyAlignment="1">
      <alignment vertical="center"/>
    </xf>
    <xf numFmtId="164" fontId="10" fillId="2" borderId="33" xfId="0" applyNumberFormat="1" applyFont="1" applyFill="1" applyBorder="1" applyAlignment="1">
      <alignment vertical="center"/>
    </xf>
    <xf numFmtId="164" fontId="15" fillId="5" borderId="35" xfId="0" applyNumberFormat="1" applyFont="1" applyFill="1" applyBorder="1" applyAlignment="1">
      <alignment horizontal="center" vertical="center"/>
    </xf>
    <xf numFmtId="164" fontId="15" fillId="5" borderId="14" xfId="0" applyNumberFormat="1" applyFont="1" applyFill="1" applyBorder="1" applyAlignment="1">
      <alignment horizontal="center" vertical="center"/>
    </xf>
    <xf numFmtId="1" fontId="10" fillId="2" borderId="5" xfId="0" applyNumberFormat="1" applyFont="1" applyFill="1" applyBorder="1" applyAlignment="1">
      <alignment horizontal="center" vertical="center"/>
    </xf>
    <xf numFmtId="14" fontId="10" fillId="2" borderId="5" xfId="0" applyNumberFormat="1" applyFont="1" applyFill="1" applyBorder="1" applyAlignment="1">
      <alignment horizontal="left" vertical="center"/>
    </xf>
    <xf numFmtId="14" fontId="10" fillId="2" borderId="7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14" fontId="10" fillId="2" borderId="26" xfId="0" applyNumberFormat="1" applyFont="1" applyFill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/>
    </xf>
    <xf numFmtId="14" fontId="10" fillId="2" borderId="3" xfId="0" applyNumberFormat="1" applyFont="1" applyFill="1" applyBorder="1" applyAlignment="1">
      <alignment horizontal="left" vertical="center"/>
    </xf>
    <xf numFmtId="164" fontId="17" fillId="2" borderId="41" xfId="0" applyNumberFormat="1" applyFont="1" applyFill="1" applyBorder="1" applyAlignment="1">
      <alignment vertical="center"/>
    </xf>
    <xf numFmtId="14" fontId="10" fillId="5" borderId="4" xfId="0" applyNumberFormat="1" applyFont="1" applyFill="1" applyBorder="1" applyAlignment="1">
      <alignment horizontal="center" vertical="center"/>
    </xf>
    <xf numFmtId="14" fontId="10" fillId="2" borderId="37" xfId="0" applyNumberFormat="1" applyFont="1" applyFill="1" applyBorder="1" applyAlignment="1">
      <alignment horizontal="center" vertical="center"/>
    </xf>
    <xf numFmtId="1" fontId="10" fillId="2" borderId="9" xfId="0" applyNumberFormat="1" applyFont="1" applyFill="1" applyBorder="1" applyAlignment="1">
      <alignment horizontal="center" vertical="center"/>
    </xf>
    <xf numFmtId="14" fontId="10" fillId="2" borderId="9" xfId="0" applyNumberFormat="1" applyFont="1" applyFill="1" applyBorder="1" applyAlignment="1">
      <alignment horizontal="left" vertical="center"/>
    </xf>
    <xf numFmtId="164" fontId="17" fillId="2" borderId="38" xfId="0" applyNumberFormat="1" applyFont="1" applyFill="1" applyBorder="1" applyAlignment="1">
      <alignment vertical="center"/>
    </xf>
    <xf numFmtId="1" fontId="10" fillId="2" borderId="2" xfId="0" applyNumberFormat="1" applyFont="1" applyFill="1" applyBorder="1" applyAlignment="1">
      <alignment horizontal="center" vertical="center"/>
    </xf>
    <xf numFmtId="1" fontId="10" fillId="2" borderId="33" xfId="0" applyNumberFormat="1" applyFont="1" applyFill="1" applyBorder="1" applyAlignment="1">
      <alignment horizontal="center" vertical="center"/>
    </xf>
    <xf numFmtId="14" fontId="10" fillId="12" borderId="37" xfId="0" applyNumberFormat="1" applyFont="1" applyFill="1" applyBorder="1" applyAlignment="1">
      <alignment horizontal="center" vertical="center"/>
    </xf>
    <xf numFmtId="1" fontId="10" fillId="12" borderId="33" xfId="0" applyNumberFormat="1" applyFont="1" applyFill="1" applyBorder="1" applyAlignment="1">
      <alignment horizontal="center" vertical="center"/>
    </xf>
    <xf numFmtId="14" fontId="10" fillId="12" borderId="9" xfId="0" applyNumberFormat="1" applyFont="1" applyFill="1" applyBorder="1" applyAlignment="1">
      <alignment horizontal="left" vertical="center"/>
    </xf>
    <xf numFmtId="164" fontId="10" fillId="12" borderId="33" xfId="0" applyNumberFormat="1" applyFont="1" applyFill="1" applyBorder="1" applyAlignment="1">
      <alignment vertical="center"/>
    </xf>
    <xf numFmtId="164" fontId="17" fillId="12" borderId="38" xfId="0" applyNumberFormat="1" applyFont="1" applyFill="1" applyBorder="1" applyAlignment="1">
      <alignment vertical="center"/>
    </xf>
    <xf numFmtId="14" fontId="10" fillId="5" borderId="17" xfId="0" applyNumberFormat="1" applyFont="1" applyFill="1" applyBorder="1" applyAlignment="1">
      <alignment horizontal="center" vertical="center"/>
    </xf>
    <xf numFmtId="1" fontId="10" fillId="2" borderId="18" xfId="0" applyNumberFormat="1" applyFont="1" applyFill="1" applyBorder="1" applyAlignment="1">
      <alignment horizontal="center" vertical="center"/>
    </xf>
    <xf numFmtId="14" fontId="10" fillId="2" borderId="18" xfId="0" applyNumberFormat="1" applyFont="1" applyFill="1" applyBorder="1" applyAlignment="1">
      <alignment horizontal="left" vertical="center"/>
    </xf>
    <xf numFmtId="14" fontId="10" fillId="5" borderId="39" xfId="0" applyNumberFormat="1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left" vertical="center"/>
    </xf>
    <xf numFmtId="1" fontId="10" fillId="2" borderId="25" xfId="0" applyNumberFormat="1" applyFont="1" applyFill="1" applyBorder="1" applyAlignment="1">
      <alignment horizontal="center" vertical="center"/>
    </xf>
    <xf numFmtId="1" fontId="10" fillId="2" borderId="20" xfId="0" applyNumberFormat="1" applyFont="1" applyFill="1" applyBorder="1" applyAlignment="1">
      <alignment horizontal="center" vertical="center"/>
    </xf>
    <xf numFmtId="14" fontId="10" fillId="2" borderId="33" xfId="0" applyNumberFormat="1" applyFont="1" applyFill="1" applyBorder="1" applyAlignment="1">
      <alignment horizontal="left" vertical="center"/>
    </xf>
    <xf numFmtId="14" fontId="10" fillId="5" borderId="40" xfId="0" applyNumberFormat="1" applyFont="1" applyFill="1" applyBorder="1" applyAlignment="1">
      <alignment horizontal="center" vertical="center"/>
    </xf>
    <xf numFmtId="164" fontId="18" fillId="12" borderId="38" xfId="0" applyNumberFormat="1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7" fontId="15" fillId="0" borderId="14" xfId="0" quotePrefix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9" fontId="3" fillId="0" borderId="0" xfId="1" applyNumberFormat="1" applyFont="1" applyBorder="1" applyAlignment="1">
      <alignment horizontal="center" vertical="center"/>
    </xf>
    <xf numFmtId="0" fontId="15" fillId="5" borderId="24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164" fontId="15" fillId="5" borderId="12" xfId="0" applyNumberFormat="1" applyFont="1" applyFill="1" applyBorder="1" applyAlignment="1">
      <alignment horizontal="center" vertical="center"/>
    </xf>
    <xf numFmtId="164" fontId="15" fillId="5" borderId="13" xfId="0" applyNumberFormat="1" applyFont="1" applyFill="1" applyBorder="1" applyAlignment="1">
      <alignment horizontal="center" vertical="center"/>
    </xf>
    <xf numFmtId="164" fontId="15" fillId="5" borderId="10" xfId="0" applyNumberFormat="1" applyFont="1" applyFill="1" applyBorder="1" applyAlignment="1">
      <alignment horizontal="center" vertical="center"/>
    </xf>
    <xf numFmtId="164" fontId="15" fillId="5" borderId="1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65" fontId="20" fillId="11" borderId="14" xfId="2" applyFont="1" applyFill="1" applyBorder="1" applyAlignment="1">
      <alignment horizontal="center" vertical="center"/>
    </xf>
    <xf numFmtId="165" fontId="20" fillId="11" borderId="23" xfId="2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6" fontId="4" fillId="3" borderId="10" xfId="0" applyNumberFormat="1" applyFont="1" applyFill="1" applyBorder="1" applyAlignment="1">
      <alignment horizontal="center" vertical="center" wrapText="1"/>
    </xf>
    <xf numFmtId="166" fontId="4" fillId="3" borderId="11" xfId="0" applyNumberFormat="1" applyFont="1" applyFill="1" applyBorder="1" applyAlignment="1">
      <alignment horizontal="center" vertical="center" wrapText="1"/>
    </xf>
    <xf numFmtId="166" fontId="8" fillId="3" borderId="10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6" fontId="4" fillId="3" borderId="27" xfId="0" applyNumberFormat="1" applyFont="1" applyFill="1" applyBorder="1" applyAlignment="1">
      <alignment horizontal="center" vertical="center" wrapText="1"/>
    </xf>
    <xf numFmtId="166" fontId="4" fillId="3" borderId="23" xfId="0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Currency [0]" xfId="2" builtinId="7"/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5A17-96FE-40C0-9DD8-84F419F0EDE8}">
  <dimension ref="A1:O103"/>
  <sheetViews>
    <sheetView tabSelected="1" topLeftCell="A73" zoomScale="70" zoomScaleNormal="70" workbookViewId="0">
      <selection activeCell="I100" sqref="I100"/>
    </sheetView>
  </sheetViews>
  <sheetFormatPr defaultColWidth="9.140625" defaultRowHeight="15" x14ac:dyDescent="0.25"/>
  <cols>
    <col min="1" max="1" width="12.42578125" style="1" bestFit="1" customWidth="1"/>
    <col min="2" max="2" width="5.42578125" style="2" bestFit="1" customWidth="1"/>
    <col min="3" max="3" width="35.28515625" style="1" customWidth="1"/>
    <col min="4" max="5" width="15.7109375" style="6" bestFit="1" customWidth="1"/>
    <col min="6" max="6" width="17.5703125" style="6" bestFit="1" customWidth="1"/>
    <col min="7" max="7" width="17.140625" style="6" bestFit="1" customWidth="1"/>
    <col min="8" max="9" width="13.85546875" style="6" bestFit="1" customWidth="1"/>
    <col min="10" max="10" width="16.85546875" style="6" bestFit="1" customWidth="1"/>
    <col min="11" max="11" width="13.5703125" style="6" bestFit="1" customWidth="1"/>
    <col min="12" max="12" width="17.5703125" style="6" customWidth="1"/>
    <col min="13" max="13" width="12.7109375" style="1" bestFit="1" customWidth="1"/>
    <col min="14" max="14" width="22.5703125" style="1" customWidth="1"/>
    <col min="15" max="16384" width="9.140625" style="1"/>
  </cols>
  <sheetData>
    <row r="1" spans="1:13" ht="18.75" x14ac:dyDescent="0.25">
      <c r="A1" s="97" t="s">
        <v>14</v>
      </c>
      <c r="B1" s="97"/>
      <c r="C1" s="97"/>
      <c r="D1" s="97"/>
      <c r="E1" s="97"/>
      <c r="F1" s="97"/>
      <c r="G1" s="97"/>
      <c r="H1" s="97"/>
      <c r="I1" s="97"/>
      <c r="J1" s="97"/>
      <c r="K1" s="27"/>
      <c r="L1" s="27"/>
    </row>
    <row r="2" spans="1:13" ht="18.75" customHeight="1" x14ac:dyDescent="0.25">
      <c r="A2" s="98" t="s">
        <v>11</v>
      </c>
      <c r="B2" s="98"/>
      <c r="C2" s="98"/>
      <c r="D2" s="98"/>
      <c r="E2" s="98"/>
      <c r="F2" s="98"/>
      <c r="G2" s="98"/>
      <c r="H2" s="98"/>
      <c r="I2" s="98"/>
      <c r="J2" s="98"/>
      <c r="K2" s="28"/>
      <c r="L2" s="28"/>
    </row>
    <row r="3" spans="1:13" ht="19.5" thickBot="1" x14ac:dyDescent="0.3">
      <c r="A3" s="99">
        <v>46143</v>
      </c>
      <c r="B3" s="99"/>
      <c r="C3" s="99"/>
      <c r="D3" s="99"/>
      <c r="E3" s="99"/>
      <c r="F3" s="99"/>
      <c r="G3" s="99"/>
      <c r="H3" s="99"/>
      <c r="I3" s="99"/>
      <c r="J3" s="99"/>
      <c r="K3" s="28"/>
      <c r="L3" s="28"/>
    </row>
    <row r="4" spans="1:13" ht="19.5" thickBot="1" x14ac:dyDescent="0.3">
      <c r="A4" s="102" t="s">
        <v>15</v>
      </c>
      <c r="B4" s="104" t="s">
        <v>10</v>
      </c>
      <c r="C4" s="106" t="s">
        <v>16</v>
      </c>
      <c r="D4" s="108" t="s">
        <v>17</v>
      </c>
      <c r="E4" s="109"/>
      <c r="F4" s="109"/>
      <c r="G4" s="109"/>
      <c r="H4" s="109"/>
      <c r="I4" s="109"/>
      <c r="J4" s="110" t="s">
        <v>6</v>
      </c>
      <c r="K4" s="1"/>
      <c r="L4" s="1"/>
    </row>
    <row r="5" spans="1:13" ht="19.5" thickBot="1" x14ac:dyDescent="0.3">
      <c r="A5" s="103"/>
      <c r="B5" s="105"/>
      <c r="C5" s="107"/>
      <c r="D5" s="65" t="s">
        <v>18</v>
      </c>
      <c r="E5" s="66" t="s">
        <v>19</v>
      </c>
      <c r="F5" s="65" t="s">
        <v>23</v>
      </c>
      <c r="G5" s="66" t="s">
        <v>20</v>
      </c>
      <c r="H5" s="65" t="s">
        <v>21</v>
      </c>
      <c r="I5" s="66" t="s">
        <v>22</v>
      </c>
      <c r="J5" s="111"/>
      <c r="K5" s="1"/>
      <c r="L5" s="1"/>
    </row>
    <row r="6" spans="1:13" ht="15.75" x14ac:dyDescent="0.25">
      <c r="A6" s="52">
        <v>46143</v>
      </c>
      <c r="B6" s="67">
        <v>1</v>
      </c>
      <c r="C6" s="68" t="s">
        <v>157</v>
      </c>
      <c r="D6" s="53">
        <v>90000</v>
      </c>
      <c r="E6" s="53">
        <v>20000</v>
      </c>
      <c r="F6" s="53">
        <v>40000</v>
      </c>
      <c r="G6" s="54"/>
      <c r="H6" s="54"/>
      <c r="I6" s="54"/>
      <c r="J6" s="55">
        <f t="shared" ref="J6:J69" si="0">SUM(D6:I6)</f>
        <v>150000</v>
      </c>
      <c r="K6" s="1"/>
      <c r="L6" s="22"/>
      <c r="M6" s="22"/>
    </row>
    <row r="7" spans="1:13" ht="15.75" x14ac:dyDescent="0.25">
      <c r="A7" s="69"/>
      <c r="B7" s="70">
        <v>2</v>
      </c>
      <c r="C7" s="57" t="s">
        <v>158</v>
      </c>
      <c r="D7" s="23">
        <v>90000</v>
      </c>
      <c r="E7" s="23">
        <v>20000</v>
      </c>
      <c r="F7" s="23">
        <v>140000</v>
      </c>
      <c r="G7" s="23"/>
      <c r="H7" s="23"/>
      <c r="I7" s="23"/>
      <c r="J7" s="56">
        <f t="shared" si="0"/>
        <v>250000</v>
      </c>
      <c r="K7" s="1"/>
      <c r="L7" s="22"/>
      <c r="M7" s="22"/>
    </row>
    <row r="8" spans="1:13" ht="15.75" x14ac:dyDescent="0.25">
      <c r="A8" s="69"/>
      <c r="B8" s="70">
        <v>3</v>
      </c>
      <c r="C8" s="57" t="s">
        <v>159</v>
      </c>
      <c r="D8" s="23">
        <v>90000</v>
      </c>
      <c r="E8" s="23">
        <v>20000</v>
      </c>
      <c r="F8" s="23">
        <v>140000</v>
      </c>
      <c r="G8" s="23"/>
      <c r="H8" s="23"/>
      <c r="I8" s="23"/>
      <c r="J8" s="56">
        <f t="shared" si="0"/>
        <v>250000</v>
      </c>
      <c r="K8" s="1"/>
      <c r="L8" s="22"/>
      <c r="M8" s="22"/>
    </row>
    <row r="9" spans="1:13" ht="15.75" x14ac:dyDescent="0.25">
      <c r="A9" s="69"/>
      <c r="B9" s="70">
        <v>4</v>
      </c>
      <c r="C9" s="57" t="s">
        <v>160</v>
      </c>
      <c r="D9" s="23">
        <v>90000</v>
      </c>
      <c r="E9" s="23">
        <v>20000</v>
      </c>
      <c r="F9" s="23">
        <v>40000</v>
      </c>
      <c r="G9" s="23"/>
      <c r="H9" s="23"/>
      <c r="I9" s="23"/>
      <c r="J9" s="56">
        <f t="shared" si="0"/>
        <v>150000</v>
      </c>
      <c r="K9" s="1"/>
      <c r="L9" s="22"/>
      <c r="M9" s="22"/>
    </row>
    <row r="10" spans="1:13" ht="16.5" thickBot="1" x14ac:dyDescent="0.3">
      <c r="A10" s="71"/>
      <c r="B10" s="72">
        <v>5</v>
      </c>
      <c r="C10" s="73" t="s">
        <v>161</v>
      </c>
      <c r="D10" s="58">
        <v>90000</v>
      </c>
      <c r="E10" s="58">
        <v>20000</v>
      </c>
      <c r="F10" s="58">
        <v>40000</v>
      </c>
      <c r="G10" s="58"/>
      <c r="H10" s="58"/>
      <c r="I10" s="58"/>
      <c r="J10" s="74">
        <f t="shared" si="0"/>
        <v>150000</v>
      </c>
      <c r="K10" s="1"/>
      <c r="L10" s="22"/>
      <c r="M10" s="22"/>
    </row>
    <row r="11" spans="1:13" ht="15.75" x14ac:dyDescent="0.25">
      <c r="A11" s="75">
        <v>46146</v>
      </c>
      <c r="B11" s="67">
        <v>1</v>
      </c>
      <c r="C11" s="68" t="s">
        <v>162</v>
      </c>
      <c r="D11" s="53">
        <v>90000</v>
      </c>
      <c r="E11" s="53">
        <v>20000</v>
      </c>
      <c r="F11" s="53">
        <v>140000</v>
      </c>
      <c r="G11" s="53"/>
      <c r="H11" s="53"/>
      <c r="I11" s="53"/>
      <c r="J11" s="55">
        <f t="shared" si="0"/>
        <v>250000</v>
      </c>
      <c r="K11" s="1"/>
      <c r="L11" s="22"/>
      <c r="M11" s="22"/>
    </row>
    <row r="12" spans="1:13" ht="15.75" x14ac:dyDescent="0.25">
      <c r="A12" s="69"/>
      <c r="B12" s="70">
        <v>2</v>
      </c>
      <c r="C12" s="57" t="s">
        <v>163</v>
      </c>
      <c r="D12" s="23">
        <v>90000</v>
      </c>
      <c r="E12" s="23">
        <v>20000</v>
      </c>
      <c r="F12" s="23">
        <v>40000</v>
      </c>
      <c r="G12" s="23"/>
      <c r="H12" s="23"/>
      <c r="I12" s="23"/>
      <c r="J12" s="56">
        <f t="shared" si="0"/>
        <v>150000</v>
      </c>
      <c r="K12" s="1"/>
      <c r="L12" s="22"/>
      <c r="M12" s="22"/>
    </row>
    <row r="13" spans="1:13" ht="16.5" thickBot="1" x14ac:dyDescent="0.3">
      <c r="A13" s="76"/>
      <c r="B13" s="77">
        <v>3</v>
      </c>
      <c r="C13" s="78" t="s">
        <v>38</v>
      </c>
      <c r="D13" s="59">
        <v>90000</v>
      </c>
      <c r="E13" s="59">
        <v>20000</v>
      </c>
      <c r="F13" s="59">
        <v>40000</v>
      </c>
      <c r="G13" s="59"/>
      <c r="H13" s="59"/>
      <c r="I13" s="59"/>
      <c r="J13" s="79">
        <f t="shared" si="0"/>
        <v>150000</v>
      </c>
      <c r="K13" s="1"/>
      <c r="L13" s="22"/>
      <c r="M13" s="22"/>
    </row>
    <row r="14" spans="1:13" ht="15.75" x14ac:dyDescent="0.25">
      <c r="A14" s="75">
        <v>46147</v>
      </c>
      <c r="B14" s="67">
        <v>1</v>
      </c>
      <c r="C14" s="68" t="s">
        <v>97</v>
      </c>
      <c r="D14" s="53">
        <v>90000</v>
      </c>
      <c r="E14" s="53">
        <v>20000</v>
      </c>
      <c r="F14" s="53">
        <v>140000</v>
      </c>
      <c r="G14" s="53"/>
      <c r="H14" s="53"/>
      <c r="I14" s="53"/>
      <c r="J14" s="55">
        <f t="shared" si="0"/>
        <v>250000</v>
      </c>
      <c r="K14" s="1"/>
      <c r="L14" s="22"/>
      <c r="M14" s="22"/>
    </row>
    <row r="15" spans="1:13" ht="15.75" x14ac:dyDescent="0.25">
      <c r="A15" s="69"/>
      <c r="B15" s="80">
        <v>2</v>
      </c>
      <c r="C15" s="57" t="s">
        <v>164</v>
      </c>
      <c r="D15" s="23">
        <v>90000</v>
      </c>
      <c r="E15" s="23">
        <v>20000</v>
      </c>
      <c r="F15" s="23">
        <v>40000</v>
      </c>
      <c r="G15" s="23"/>
      <c r="H15" s="23"/>
      <c r="I15" s="23"/>
      <c r="J15" s="56">
        <f t="shared" si="0"/>
        <v>150000</v>
      </c>
      <c r="K15" s="1"/>
      <c r="L15" s="22"/>
      <c r="M15" s="22"/>
    </row>
    <row r="16" spans="1:13" ht="15.75" x14ac:dyDescent="0.25">
      <c r="A16" s="69"/>
      <c r="B16" s="80">
        <v>3</v>
      </c>
      <c r="C16" s="57" t="s">
        <v>165</v>
      </c>
      <c r="D16" s="23">
        <v>90000</v>
      </c>
      <c r="E16" s="23">
        <v>20000</v>
      </c>
      <c r="F16" s="23">
        <v>40000</v>
      </c>
      <c r="G16" s="23"/>
      <c r="H16" s="23"/>
      <c r="I16" s="23"/>
      <c r="J16" s="56">
        <f t="shared" si="0"/>
        <v>150000</v>
      </c>
      <c r="K16" s="1"/>
      <c r="L16" s="22"/>
      <c r="M16" s="22"/>
    </row>
    <row r="17" spans="1:13" ht="15.75" x14ac:dyDescent="0.25">
      <c r="A17" s="69"/>
      <c r="B17" s="80">
        <v>4</v>
      </c>
      <c r="C17" s="57" t="s">
        <v>166</v>
      </c>
      <c r="D17" s="23">
        <v>90000</v>
      </c>
      <c r="E17" s="23">
        <v>20000</v>
      </c>
      <c r="F17" s="23">
        <v>40000</v>
      </c>
      <c r="G17" s="23"/>
      <c r="H17" s="23"/>
      <c r="I17" s="23"/>
      <c r="J17" s="56">
        <f t="shared" si="0"/>
        <v>150000</v>
      </c>
      <c r="K17" s="1"/>
      <c r="L17" s="22"/>
      <c r="M17" s="22"/>
    </row>
    <row r="18" spans="1:13" ht="15.75" x14ac:dyDescent="0.25">
      <c r="A18" s="69"/>
      <c r="B18" s="80">
        <v>5</v>
      </c>
      <c r="C18" s="57" t="s">
        <v>167</v>
      </c>
      <c r="D18" s="24">
        <v>90000</v>
      </c>
      <c r="E18" s="24">
        <v>20000</v>
      </c>
      <c r="F18" s="24">
        <v>140000</v>
      </c>
      <c r="G18" s="23"/>
      <c r="H18" s="23"/>
      <c r="I18" s="23"/>
      <c r="J18" s="56">
        <f t="shared" si="0"/>
        <v>250000</v>
      </c>
      <c r="K18" s="1"/>
      <c r="L18" s="22"/>
      <c r="M18" s="22"/>
    </row>
    <row r="19" spans="1:13" ht="16.5" thickBot="1" x14ac:dyDescent="0.3">
      <c r="A19" s="76"/>
      <c r="B19" s="81">
        <v>6</v>
      </c>
      <c r="C19" s="78" t="s">
        <v>168</v>
      </c>
      <c r="D19" s="64">
        <v>90000</v>
      </c>
      <c r="E19" s="64">
        <v>20000</v>
      </c>
      <c r="F19" s="64">
        <v>140000</v>
      </c>
      <c r="G19" s="59"/>
      <c r="H19" s="59"/>
      <c r="I19" s="59"/>
      <c r="J19" s="79">
        <f t="shared" si="0"/>
        <v>250000</v>
      </c>
      <c r="K19" s="1"/>
      <c r="L19" s="22"/>
      <c r="M19" s="22"/>
    </row>
    <row r="20" spans="1:13" ht="15.75" x14ac:dyDescent="0.25">
      <c r="A20" s="75">
        <v>46148</v>
      </c>
      <c r="B20" s="67">
        <v>1</v>
      </c>
      <c r="C20" s="68" t="s">
        <v>169</v>
      </c>
      <c r="D20" s="53">
        <v>90000</v>
      </c>
      <c r="E20" s="53">
        <v>20000</v>
      </c>
      <c r="F20" s="53">
        <v>140000</v>
      </c>
      <c r="G20" s="53"/>
      <c r="H20" s="53"/>
      <c r="I20" s="53"/>
      <c r="J20" s="55">
        <f t="shared" si="0"/>
        <v>250000</v>
      </c>
      <c r="K20" s="1"/>
      <c r="L20" s="1"/>
    </row>
    <row r="21" spans="1:13" ht="15.75" x14ac:dyDescent="0.25">
      <c r="A21" s="69"/>
      <c r="B21" s="80">
        <v>2</v>
      </c>
      <c r="C21" s="57" t="s">
        <v>170</v>
      </c>
      <c r="D21" s="23">
        <v>90000</v>
      </c>
      <c r="E21" s="23">
        <v>20000</v>
      </c>
      <c r="F21" s="23">
        <v>40000</v>
      </c>
      <c r="G21" s="23"/>
      <c r="H21" s="23"/>
      <c r="I21" s="23"/>
      <c r="J21" s="56">
        <f t="shared" si="0"/>
        <v>150000</v>
      </c>
      <c r="K21" s="1"/>
      <c r="L21" s="1"/>
    </row>
    <row r="22" spans="1:13" ht="15.75" x14ac:dyDescent="0.25">
      <c r="A22" s="69"/>
      <c r="B22" s="80">
        <v>3</v>
      </c>
      <c r="C22" s="57" t="s">
        <v>171</v>
      </c>
      <c r="D22" s="23">
        <v>90000</v>
      </c>
      <c r="E22" s="23">
        <v>20000</v>
      </c>
      <c r="F22" s="23">
        <v>40000</v>
      </c>
      <c r="G22" s="23"/>
      <c r="H22" s="23"/>
      <c r="I22" s="23"/>
      <c r="J22" s="56">
        <f t="shared" si="0"/>
        <v>150000</v>
      </c>
      <c r="K22" s="1"/>
      <c r="L22" s="1"/>
    </row>
    <row r="23" spans="1:13" ht="15.75" x14ac:dyDescent="0.25">
      <c r="A23" s="69"/>
      <c r="B23" s="80">
        <v>4</v>
      </c>
      <c r="C23" s="57" t="s">
        <v>172</v>
      </c>
      <c r="D23" s="23">
        <v>90000</v>
      </c>
      <c r="E23" s="23">
        <v>20000</v>
      </c>
      <c r="F23" s="23">
        <v>40000</v>
      </c>
      <c r="G23" s="23"/>
      <c r="H23" s="23"/>
      <c r="I23" s="23"/>
      <c r="J23" s="56">
        <f t="shared" si="0"/>
        <v>150000</v>
      </c>
      <c r="K23" s="1"/>
      <c r="L23" s="1"/>
    </row>
    <row r="24" spans="1:13" ht="16.5" thickBot="1" x14ac:dyDescent="0.3">
      <c r="A24" s="76"/>
      <c r="B24" s="81">
        <v>5</v>
      </c>
      <c r="C24" s="78" t="s">
        <v>173</v>
      </c>
      <c r="D24" s="59">
        <v>90000</v>
      </c>
      <c r="E24" s="59">
        <v>20000</v>
      </c>
      <c r="F24" s="59">
        <v>40000</v>
      </c>
      <c r="G24" s="59"/>
      <c r="H24" s="59"/>
      <c r="I24" s="59"/>
      <c r="J24" s="79">
        <f t="shared" si="0"/>
        <v>150000</v>
      </c>
      <c r="K24" s="1"/>
      <c r="L24" s="1"/>
    </row>
    <row r="25" spans="1:13" ht="15.75" x14ac:dyDescent="0.25">
      <c r="A25" s="75">
        <v>46149</v>
      </c>
      <c r="B25" s="67">
        <v>1</v>
      </c>
      <c r="C25" s="68" t="s">
        <v>174</v>
      </c>
      <c r="D25" s="53">
        <v>90000</v>
      </c>
      <c r="E25" s="53">
        <v>20000</v>
      </c>
      <c r="F25" s="53">
        <v>140000</v>
      </c>
      <c r="G25" s="53"/>
      <c r="H25" s="53"/>
      <c r="I25" s="53"/>
      <c r="J25" s="55">
        <f t="shared" si="0"/>
        <v>250000</v>
      </c>
      <c r="K25" s="1"/>
      <c r="L25" s="1"/>
    </row>
    <row r="26" spans="1:13" ht="15.75" x14ac:dyDescent="0.25">
      <c r="A26" s="69"/>
      <c r="B26" s="80">
        <v>2</v>
      </c>
      <c r="C26" s="57" t="s">
        <v>175</v>
      </c>
      <c r="D26" s="23">
        <v>90000</v>
      </c>
      <c r="E26" s="23">
        <v>20000</v>
      </c>
      <c r="F26" s="23">
        <v>40000</v>
      </c>
      <c r="G26" s="23"/>
      <c r="H26" s="23"/>
      <c r="I26" s="23"/>
      <c r="J26" s="56">
        <f t="shared" si="0"/>
        <v>150000</v>
      </c>
      <c r="K26" s="1"/>
      <c r="L26" s="1"/>
    </row>
    <row r="27" spans="1:13" ht="15.75" x14ac:dyDescent="0.25">
      <c r="A27" s="69"/>
      <c r="B27" s="80">
        <v>3</v>
      </c>
      <c r="C27" s="57" t="s">
        <v>176</v>
      </c>
      <c r="D27" s="23">
        <v>90000</v>
      </c>
      <c r="E27" s="23">
        <v>20000</v>
      </c>
      <c r="F27" s="23">
        <v>40000</v>
      </c>
      <c r="G27" s="23"/>
      <c r="H27" s="23"/>
      <c r="I27" s="23"/>
      <c r="J27" s="56">
        <f t="shared" si="0"/>
        <v>150000</v>
      </c>
      <c r="K27" s="1"/>
      <c r="L27" s="1"/>
    </row>
    <row r="28" spans="1:13" ht="15.75" x14ac:dyDescent="0.25">
      <c r="A28" s="69"/>
      <c r="B28" s="80">
        <v>4</v>
      </c>
      <c r="C28" s="57" t="s">
        <v>100</v>
      </c>
      <c r="D28" s="23">
        <v>90000</v>
      </c>
      <c r="E28" s="23">
        <v>20000</v>
      </c>
      <c r="F28" s="23">
        <v>140000</v>
      </c>
      <c r="G28" s="23"/>
      <c r="H28" s="23"/>
      <c r="I28" s="23"/>
      <c r="J28" s="56">
        <f t="shared" si="0"/>
        <v>250000</v>
      </c>
      <c r="K28" s="1"/>
      <c r="L28" s="1"/>
    </row>
    <row r="29" spans="1:13" ht="15.75" x14ac:dyDescent="0.25">
      <c r="A29" s="69"/>
      <c r="B29" s="80">
        <v>5</v>
      </c>
      <c r="C29" s="57" t="s">
        <v>177</v>
      </c>
      <c r="D29" s="23">
        <v>90000</v>
      </c>
      <c r="E29" s="23">
        <v>20000</v>
      </c>
      <c r="F29" s="23">
        <v>40000</v>
      </c>
      <c r="G29" s="23"/>
      <c r="H29" s="23"/>
      <c r="I29" s="23"/>
      <c r="J29" s="56">
        <f t="shared" si="0"/>
        <v>150000</v>
      </c>
      <c r="K29" s="1"/>
      <c r="L29" s="1"/>
    </row>
    <row r="30" spans="1:13" ht="15.75" x14ac:dyDescent="0.25">
      <c r="A30" s="69"/>
      <c r="B30" s="80">
        <v>6</v>
      </c>
      <c r="C30" s="57" t="s">
        <v>178</v>
      </c>
      <c r="D30" s="23">
        <v>90000</v>
      </c>
      <c r="E30" s="23">
        <v>20000</v>
      </c>
      <c r="F30" s="23">
        <v>40000</v>
      </c>
      <c r="G30" s="23"/>
      <c r="H30" s="23"/>
      <c r="I30" s="23"/>
      <c r="J30" s="56">
        <f t="shared" si="0"/>
        <v>150000</v>
      </c>
      <c r="K30" s="1"/>
      <c r="L30" s="1"/>
    </row>
    <row r="31" spans="1:13" ht="16.5" thickBot="1" x14ac:dyDescent="0.3">
      <c r="A31" s="76"/>
      <c r="B31" s="81">
        <v>7</v>
      </c>
      <c r="C31" s="78" t="s">
        <v>179</v>
      </c>
      <c r="D31" s="59">
        <v>90000</v>
      </c>
      <c r="E31" s="59">
        <v>20000</v>
      </c>
      <c r="F31" s="59">
        <v>40000</v>
      </c>
      <c r="G31" s="59"/>
      <c r="H31" s="59"/>
      <c r="I31" s="59"/>
      <c r="J31" s="79">
        <f t="shared" si="0"/>
        <v>150000</v>
      </c>
      <c r="K31" s="1"/>
      <c r="L31" s="1"/>
    </row>
    <row r="32" spans="1:13" ht="15.75" x14ac:dyDescent="0.25">
      <c r="A32" s="75">
        <v>46150</v>
      </c>
      <c r="B32" s="67">
        <v>1</v>
      </c>
      <c r="C32" s="68" t="s">
        <v>180</v>
      </c>
      <c r="D32" s="53">
        <v>90000</v>
      </c>
      <c r="E32" s="53">
        <v>20000</v>
      </c>
      <c r="F32" s="53">
        <v>140000</v>
      </c>
      <c r="G32" s="53"/>
      <c r="H32" s="53" t="s">
        <v>181</v>
      </c>
      <c r="I32" s="53"/>
      <c r="J32" s="55">
        <f t="shared" si="0"/>
        <v>250000</v>
      </c>
      <c r="K32" s="1"/>
      <c r="L32" s="1"/>
    </row>
    <row r="33" spans="1:12" ht="15.75" x14ac:dyDescent="0.25">
      <c r="A33" s="69"/>
      <c r="B33" s="80">
        <v>2</v>
      </c>
      <c r="C33" s="57" t="s">
        <v>182</v>
      </c>
      <c r="D33" s="24">
        <v>90000</v>
      </c>
      <c r="E33" s="24">
        <v>20000</v>
      </c>
      <c r="F33" s="24">
        <v>140000</v>
      </c>
      <c r="G33" s="23"/>
      <c r="H33" s="23"/>
      <c r="I33" s="23"/>
      <c r="J33" s="56">
        <f t="shared" si="0"/>
        <v>250000</v>
      </c>
      <c r="K33" s="1"/>
      <c r="L33" s="1"/>
    </row>
    <row r="34" spans="1:12" ht="15.75" x14ac:dyDescent="0.25">
      <c r="A34" s="69"/>
      <c r="B34" s="80">
        <v>3</v>
      </c>
      <c r="C34" s="57" t="s">
        <v>183</v>
      </c>
      <c r="D34" s="23">
        <v>90000</v>
      </c>
      <c r="E34" s="23">
        <v>20000</v>
      </c>
      <c r="F34" s="23">
        <v>40000</v>
      </c>
      <c r="G34" s="23"/>
      <c r="H34" s="23"/>
      <c r="I34" s="23"/>
      <c r="J34" s="56">
        <f t="shared" si="0"/>
        <v>150000</v>
      </c>
      <c r="K34" s="1"/>
      <c r="L34" s="1"/>
    </row>
    <row r="35" spans="1:12" ht="15.75" x14ac:dyDescent="0.25">
      <c r="A35" s="69"/>
      <c r="B35" s="80">
        <v>4</v>
      </c>
      <c r="C35" s="57" t="s">
        <v>184</v>
      </c>
      <c r="D35" s="23">
        <v>90000</v>
      </c>
      <c r="E35" s="23">
        <v>20000</v>
      </c>
      <c r="F35" s="23">
        <v>40000</v>
      </c>
      <c r="G35" s="23"/>
      <c r="H35" s="23"/>
      <c r="I35" s="23"/>
      <c r="J35" s="56">
        <f t="shared" si="0"/>
        <v>150000</v>
      </c>
      <c r="K35" s="1"/>
      <c r="L35" s="1"/>
    </row>
    <row r="36" spans="1:12" ht="15.75" x14ac:dyDescent="0.25">
      <c r="A36" s="69"/>
      <c r="B36" s="80">
        <v>5</v>
      </c>
      <c r="C36" s="57" t="s">
        <v>185</v>
      </c>
      <c r="D36" s="24">
        <v>90000</v>
      </c>
      <c r="E36" s="24">
        <v>20000</v>
      </c>
      <c r="F36" s="24">
        <v>140000</v>
      </c>
      <c r="G36" s="23"/>
      <c r="H36" s="23"/>
      <c r="I36" s="23"/>
      <c r="J36" s="56">
        <f t="shared" si="0"/>
        <v>250000</v>
      </c>
      <c r="K36" s="1"/>
      <c r="L36" s="1"/>
    </row>
    <row r="37" spans="1:12" ht="15.75" x14ac:dyDescent="0.25">
      <c r="A37" s="69"/>
      <c r="B37" s="80">
        <v>6</v>
      </c>
      <c r="C37" s="57" t="s">
        <v>186</v>
      </c>
      <c r="D37" s="24">
        <v>90000</v>
      </c>
      <c r="E37" s="24">
        <v>20000</v>
      </c>
      <c r="F37" s="23"/>
      <c r="G37" s="23"/>
      <c r="H37" s="23"/>
      <c r="I37" s="23"/>
      <c r="J37" s="56">
        <f t="shared" si="0"/>
        <v>110000</v>
      </c>
      <c r="K37" s="1"/>
      <c r="L37" s="1"/>
    </row>
    <row r="38" spans="1:12" ht="15.75" x14ac:dyDescent="0.25">
      <c r="A38" s="69"/>
      <c r="B38" s="80">
        <v>7</v>
      </c>
      <c r="C38" s="57" t="s">
        <v>187</v>
      </c>
      <c r="D38" s="23">
        <v>90000</v>
      </c>
      <c r="E38" s="23">
        <v>20000</v>
      </c>
      <c r="F38" s="23">
        <v>40000</v>
      </c>
      <c r="G38" s="23"/>
      <c r="H38" s="23"/>
      <c r="I38" s="23"/>
      <c r="J38" s="56">
        <f t="shared" si="0"/>
        <v>150000</v>
      </c>
      <c r="K38" s="1"/>
      <c r="L38" s="1"/>
    </row>
    <row r="39" spans="1:12" ht="15.75" x14ac:dyDescent="0.25">
      <c r="A39" s="69"/>
      <c r="B39" s="80">
        <v>8</v>
      </c>
      <c r="C39" s="57" t="s">
        <v>188</v>
      </c>
      <c r="D39" s="23">
        <v>90000</v>
      </c>
      <c r="E39" s="23">
        <v>20000</v>
      </c>
      <c r="F39" s="23">
        <v>40000</v>
      </c>
      <c r="G39" s="23"/>
      <c r="H39" s="23"/>
      <c r="I39" s="23"/>
      <c r="J39" s="56">
        <f t="shared" si="0"/>
        <v>150000</v>
      </c>
      <c r="K39" s="1"/>
      <c r="L39" s="1"/>
    </row>
    <row r="40" spans="1:12" ht="16.5" thickBot="1" x14ac:dyDescent="0.3">
      <c r="A40" s="82"/>
      <c r="B40" s="83">
        <v>9</v>
      </c>
      <c r="C40" s="84" t="s">
        <v>189</v>
      </c>
      <c r="D40" s="85">
        <v>90000</v>
      </c>
      <c r="E40" s="85">
        <v>20000</v>
      </c>
      <c r="F40" s="85">
        <v>140000</v>
      </c>
      <c r="G40" s="63"/>
      <c r="H40" s="63"/>
      <c r="I40" s="63"/>
      <c r="J40" s="86">
        <f t="shared" si="0"/>
        <v>250000</v>
      </c>
      <c r="K40" s="1"/>
      <c r="L40" s="1"/>
    </row>
    <row r="41" spans="1:12" ht="15.75" x14ac:dyDescent="0.25">
      <c r="A41" s="75">
        <v>46151</v>
      </c>
      <c r="B41" s="67">
        <v>1</v>
      </c>
      <c r="C41" s="68" t="s">
        <v>190</v>
      </c>
      <c r="D41" s="53">
        <v>90000</v>
      </c>
      <c r="E41" s="53">
        <v>20000</v>
      </c>
      <c r="F41" s="53">
        <v>40000</v>
      </c>
      <c r="G41" s="53"/>
      <c r="H41" s="53"/>
      <c r="I41" s="53"/>
      <c r="J41" s="55">
        <f t="shared" si="0"/>
        <v>150000</v>
      </c>
      <c r="K41" s="1"/>
      <c r="L41" s="1"/>
    </row>
    <row r="42" spans="1:12" ht="15.75" x14ac:dyDescent="0.25">
      <c r="A42" s="69"/>
      <c r="B42" s="80">
        <v>2</v>
      </c>
      <c r="C42" s="57" t="s">
        <v>191</v>
      </c>
      <c r="D42" s="24">
        <v>90000</v>
      </c>
      <c r="E42" s="24">
        <v>20000</v>
      </c>
      <c r="F42" s="24">
        <v>40000</v>
      </c>
      <c r="G42" s="23"/>
      <c r="H42" s="23"/>
      <c r="I42" s="23"/>
      <c r="J42" s="56">
        <f t="shared" si="0"/>
        <v>150000</v>
      </c>
      <c r="K42" s="1"/>
      <c r="L42" s="1"/>
    </row>
    <row r="43" spans="1:12" ht="15.75" x14ac:dyDescent="0.25">
      <c r="A43" s="69"/>
      <c r="B43" s="80">
        <v>3</v>
      </c>
      <c r="C43" s="57" t="s">
        <v>192</v>
      </c>
      <c r="D43" s="24">
        <v>90000</v>
      </c>
      <c r="E43" s="24">
        <v>20000</v>
      </c>
      <c r="F43" s="24">
        <v>40000</v>
      </c>
      <c r="G43" s="23"/>
      <c r="H43" s="23"/>
      <c r="I43" s="23"/>
      <c r="J43" s="56">
        <f t="shared" si="0"/>
        <v>150000</v>
      </c>
      <c r="K43" s="1"/>
      <c r="L43" s="1"/>
    </row>
    <row r="44" spans="1:12" ht="15.75" x14ac:dyDescent="0.25">
      <c r="A44" s="69"/>
      <c r="B44" s="80">
        <v>4</v>
      </c>
      <c r="C44" s="57" t="s">
        <v>69</v>
      </c>
      <c r="D44" s="24">
        <v>90000</v>
      </c>
      <c r="E44" s="24">
        <v>20000</v>
      </c>
      <c r="F44" s="24">
        <v>40000</v>
      </c>
      <c r="G44" s="23"/>
      <c r="H44" s="23"/>
      <c r="I44" s="23"/>
      <c r="J44" s="56">
        <f t="shared" si="0"/>
        <v>150000</v>
      </c>
      <c r="K44" s="1"/>
      <c r="L44" s="1"/>
    </row>
    <row r="45" spans="1:12" ht="16.5" thickBot="1" x14ac:dyDescent="0.3">
      <c r="A45" s="76"/>
      <c r="B45" s="81">
        <v>5</v>
      </c>
      <c r="C45" s="78" t="s">
        <v>193</v>
      </c>
      <c r="D45" s="64">
        <v>90000</v>
      </c>
      <c r="E45" s="64">
        <v>20000</v>
      </c>
      <c r="F45" s="64">
        <v>40000</v>
      </c>
      <c r="G45" s="59"/>
      <c r="H45" s="59"/>
      <c r="I45" s="59"/>
      <c r="J45" s="79">
        <f t="shared" si="0"/>
        <v>150000</v>
      </c>
      <c r="K45" s="1"/>
      <c r="L45" s="1"/>
    </row>
    <row r="46" spans="1:12" ht="15.75" x14ac:dyDescent="0.25">
      <c r="A46" s="75">
        <v>46153</v>
      </c>
      <c r="B46" s="67">
        <v>1</v>
      </c>
      <c r="C46" s="68" t="s">
        <v>194</v>
      </c>
      <c r="D46" s="53">
        <v>90000</v>
      </c>
      <c r="E46" s="53">
        <v>20000</v>
      </c>
      <c r="F46" s="53">
        <v>40000</v>
      </c>
      <c r="G46" s="53"/>
      <c r="H46" s="53"/>
      <c r="I46" s="53"/>
      <c r="J46" s="55">
        <f t="shared" si="0"/>
        <v>150000</v>
      </c>
      <c r="K46" s="1"/>
      <c r="L46" s="1"/>
    </row>
    <row r="47" spans="1:12" ht="16.5" thickBot="1" x14ac:dyDescent="0.3">
      <c r="A47" s="76"/>
      <c r="B47" s="81">
        <v>2</v>
      </c>
      <c r="C47" s="78" t="s">
        <v>195</v>
      </c>
      <c r="D47" s="64">
        <v>90000</v>
      </c>
      <c r="E47" s="64">
        <v>20000</v>
      </c>
      <c r="F47" s="64">
        <v>40000</v>
      </c>
      <c r="G47" s="59"/>
      <c r="H47" s="59"/>
      <c r="I47" s="59"/>
      <c r="J47" s="79">
        <f t="shared" si="0"/>
        <v>150000</v>
      </c>
      <c r="K47" s="1"/>
      <c r="L47" s="1"/>
    </row>
    <row r="48" spans="1:12" ht="15.75" x14ac:dyDescent="0.25">
      <c r="A48" s="75">
        <v>46154</v>
      </c>
      <c r="B48" s="67">
        <v>1</v>
      </c>
      <c r="C48" s="68" t="s">
        <v>196</v>
      </c>
      <c r="D48" s="53">
        <v>90000</v>
      </c>
      <c r="E48" s="53">
        <v>20000</v>
      </c>
      <c r="F48" s="53">
        <v>140000</v>
      </c>
      <c r="G48" s="53"/>
      <c r="H48" s="53"/>
      <c r="I48" s="53"/>
      <c r="J48" s="55">
        <f t="shared" si="0"/>
        <v>250000</v>
      </c>
      <c r="K48" s="1"/>
      <c r="L48" s="1"/>
    </row>
    <row r="49" spans="1:12" ht="15.75" x14ac:dyDescent="0.25">
      <c r="A49" s="69"/>
      <c r="B49" s="80">
        <v>2</v>
      </c>
      <c r="C49" s="57" t="s">
        <v>197</v>
      </c>
      <c r="D49" s="24">
        <v>90000</v>
      </c>
      <c r="E49" s="24">
        <v>20000</v>
      </c>
      <c r="F49" s="24">
        <v>140000</v>
      </c>
      <c r="G49" s="23"/>
      <c r="H49" s="23"/>
      <c r="I49" s="23"/>
      <c r="J49" s="56">
        <f t="shared" si="0"/>
        <v>250000</v>
      </c>
      <c r="K49" s="1"/>
      <c r="L49" s="1"/>
    </row>
    <row r="50" spans="1:12" ht="15.75" x14ac:dyDescent="0.25">
      <c r="A50" s="69"/>
      <c r="B50" s="80">
        <v>3</v>
      </c>
      <c r="C50" s="57" t="s">
        <v>198</v>
      </c>
      <c r="D50" s="24">
        <v>90000</v>
      </c>
      <c r="E50" s="24">
        <v>20000</v>
      </c>
      <c r="F50" s="24">
        <v>40000</v>
      </c>
      <c r="G50" s="23"/>
      <c r="H50" s="23"/>
      <c r="I50" s="23"/>
      <c r="J50" s="56">
        <f t="shared" si="0"/>
        <v>150000</v>
      </c>
      <c r="K50" s="1"/>
      <c r="L50" s="1"/>
    </row>
    <row r="51" spans="1:12" ht="15.75" x14ac:dyDescent="0.25">
      <c r="A51" s="69"/>
      <c r="B51" s="80">
        <v>4</v>
      </c>
      <c r="C51" s="57" t="s">
        <v>199</v>
      </c>
      <c r="D51" s="24">
        <v>90000</v>
      </c>
      <c r="E51" s="24">
        <v>20000</v>
      </c>
      <c r="F51" s="24">
        <v>40000</v>
      </c>
      <c r="G51" s="23"/>
      <c r="H51" s="23"/>
      <c r="I51" s="23"/>
      <c r="J51" s="56">
        <f t="shared" si="0"/>
        <v>150000</v>
      </c>
      <c r="K51" s="1"/>
      <c r="L51" s="1"/>
    </row>
    <row r="52" spans="1:12" ht="15.75" x14ac:dyDescent="0.25">
      <c r="A52" s="69"/>
      <c r="B52" s="80">
        <v>5</v>
      </c>
      <c r="C52" s="57" t="s">
        <v>200</v>
      </c>
      <c r="D52" s="24">
        <v>90000</v>
      </c>
      <c r="E52" s="24">
        <v>20000</v>
      </c>
      <c r="F52" s="24">
        <v>140000</v>
      </c>
      <c r="G52" s="23"/>
      <c r="H52" s="23"/>
      <c r="I52" s="23"/>
      <c r="J52" s="56">
        <f t="shared" si="0"/>
        <v>250000</v>
      </c>
      <c r="K52" s="1"/>
      <c r="L52" s="1"/>
    </row>
    <row r="53" spans="1:12" ht="16.5" thickBot="1" x14ac:dyDescent="0.3">
      <c r="A53" s="76"/>
      <c r="B53" s="81">
        <v>6</v>
      </c>
      <c r="C53" s="78" t="s">
        <v>201</v>
      </c>
      <c r="D53" s="64">
        <v>90000</v>
      </c>
      <c r="E53" s="64">
        <v>20000</v>
      </c>
      <c r="F53" s="64">
        <v>140000</v>
      </c>
      <c r="G53" s="59"/>
      <c r="H53" s="59"/>
      <c r="I53" s="59"/>
      <c r="J53" s="79">
        <f t="shared" si="0"/>
        <v>250000</v>
      </c>
      <c r="K53" s="1"/>
      <c r="L53" s="1"/>
    </row>
    <row r="54" spans="1:12" ht="15.75" x14ac:dyDescent="0.25">
      <c r="A54" s="75">
        <v>46155</v>
      </c>
      <c r="B54" s="67">
        <v>1</v>
      </c>
      <c r="C54" s="68" t="s">
        <v>202</v>
      </c>
      <c r="D54" s="53">
        <v>90000</v>
      </c>
      <c r="E54" s="53">
        <v>20000</v>
      </c>
      <c r="F54" s="53">
        <v>140000</v>
      </c>
      <c r="G54" s="53"/>
      <c r="H54" s="53"/>
      <c r="I54" s="53"/>
      <c r="J54" s="55">
        <f t="shared" si="0"/>
        <v>250000</v>
      </c>
      <c r="K54" s="1"/>
      <c r="L54" s="1"/>
    </row>
    <row r="55" spans="1:12" ht="15.75" x14ac:dyDescent="0.25">
      <c r="A55" s="69"/>
      <c r="B55" s="80">
        <v>2</v>
      </c>
      <c r="C55" s="57" t="s">
        <v>203</v>
      </c>
      <c r="D55" s="24">
        <v>90000</v>
      </c>
      <c r="E55" s="24">
        <v>20000</v>
      </c>
      <c r="F55" s="24">
        <v>140000</v>
      </c>
      <c r="G55" s="23"/>
      <c r="H55" s="23"/>
      <c r="I55" s="23"/>
      <c r="J55" s="56">
        <f t="shared" si="0"/>
        <v>250000</v>
      </c>
      <c r="K55" s="1"/>
      <c r="L55" s="1"/>
    </row>
    <row r="56" spans="1:12" ht="15.75" x14ac:dyDescent="0.25">
      <c r="A56" s="69"/>
      <c r="B56" s="80">
        <v>3</v>
      </c>
      <c r="C56" s="57" t="s">
        <v>192</v>
      </c>
      <c r="D56" s="24">
        <v>90000</v>
      </c>
      <c r="E56" s="24">
        <v>20000</v>
      </c>
      <c r="F56" s="24">
        <v>80000</v>
      </c>
      <c r="G56" s="23"/>
      <c r="H56" s="23"/>
      <c r="I56" s="23"/>
      <c r="J56" s="56">
        <f t="shared" si="0"/>
        <v>190000</v>
      </c>
      <c r="K56" s="1"/>
      <c r="L56" s="1"/>
    </row>
    <row r="57" spans="1:12" ht="15.75" x14ac:dyDescent="0.25">
      <c r="A57" s="69"/>
      <c r="B57" s="80">
        <v>4</v>
      </c>
      <c r="C57" s="57" t="s">
        <v>204</v>
      </c>
      <c r="D57" s="24">
        <v>90000</v>
      </c>
      <c r="E57" s="24">
        <v>20000</v>
      </c>
      <c r="F57" s="24">
        <v>140000</v>
      </c>
      <c r="G57" s="23"/>
      <c r="H57" s="23"/>
      <c r="I57" s="23"/>
      <c r="J57" s="56">
        <f t="shared" si="0"/>
        <v>250000</v>
      </c>
      <c r="K57" s="1"/>
      <c r="L57" s="1"/>
    </row>
    <row r="58" spans="1:12" ht="15.75" x14ac:dyDescent="0.25">
      <c r="A58" s="69"/>
      <c r="B58" s="80">
        <v>5</v>
      </c>
      <c r="C58" s="57" t="s">
        <v>205</v>
      </c>
      <c r="D58" s="24">
        <v>90000</v>
      </c>
      <c r="E58" s="24">
        <v>20000</v>
      </c>
      <c r="F58" s="24">
        <v>40000</v>
      </c>
      <c r="G58" s="23"/>
      <c r="H58" s="23"/>
      <c r="I58" s="23"/>
      <c r="J58" s="56">
        <f t="shared" si="0"/>
        <v>150000</v>
      </c>
      <c r="K58" s="1"/>
      <c r="L58" s="1"/>
    </row>
    <row r="59" spans="1:12" ht="16.5" thickBot="1" x14ac:dyDescent="0.3">
      <c r="A59" s="76"/>
      <c r="B59" s="81">
        <v>6</v>
      </c>
      <c r="C59" s="78" t="s">
        <v>206</v>
      </c>
      <c r="D59" s="64">
        <v>90000</v>
      </c>
      <c r="E59" s="64">
        <v>20000</v>
      </c>
      <c r="F59" s="64">
        <v>140000</v>
      </c>
      <c r="G59" s="59"/>
      <c r="H59" s="59"/>
      <c r="I59" s="59"/>
      <c r="J59" s="79">
        <f t="shared" si="0"/>
        <v>250000</v>
      </c>
      <c r="K59" s="1"/>
      <c r="L59" s="1"/>
    </row>
    <row r="60" spans="1:12" ht="16.5" thickBot="1" x14ac:dyDescent="0.3">
      <c r="A60" s="87">
        <v>46155</v>
      </c>
      <c r="B60" s="88">
        <v>1</v>
      </c>
      <c r="C60" s="89" t="s">
        <v>207</v>
      </c>
      <c r="D60" s="60">
        <v>90000</v>
      </c>
      <c r="E60" s="60">
        <v>20000</v>
      </c>
      <c r="F60" s="60">
        <v>140000</v>
      </c>
      <c r="G60" s="60"/>
      <c r="H60" s="60"/>
      <c r="I60" s="60"/>
      <c r="J60" s="61">
        <f t="shared" si="0"/>
        <v>250000</v>
      </c>
      <c r="K60" s="1"/>
      <c r="L60" s="1"/>
    </row>
    <row r="61" spans="1:12" ht="15.75" x14ac:dyDescent="0.25">
      <c r="A61" s="90">
        <v>46156</v>
      </c>
      <c r="B61" s="67">
        <v>1</v>
      </c>
      <c r="C61" s="68" t="s">
        <v>208</v>
      </c>
      <c r="D61" s="53">
        <v>90000</v>
      </c>
      <c r="E61" s="53">
        <v>20000</v>
      </c>
      <c r="F61" s="53">
        <v>140000</v>
      </c>
      <c r="G61" s="53"/>
      <c r="H61" s="53"/>
      <c r="I61" s="53"/>
      <c r="J61" s="55">
        <f t="shared" si="0"/>
        <v>250000</v>
      </c>
      <c r="K61" s="1"/>
      <c r="L61" s="1"/>
    </row>
    <row r="62" spans="1:12" ht="15.75" x14ac:dyDescent="0.25">
      <c r="A62" s="69"/>
      <c r="B62" s="80">
        <v>2</v>
      </c>
      <c r="C62" s="57" t="s">
        <v>209</v>
      </c>
      <c r="D62" s="24">
        <v>90000</v>
      </c>
      <c r="E62" s="24">
        <v>20000</v>
      </c>
      <c r="F62" s="24">
        <v>140000</v>
      </c>
      <c r="G62" s="23"/>
      <c r="H62" s="23"/>
      <c r="I62" s="23"/>
      <c r="J62" s="56">
        <f t="shared" si="0"/>
        <v>250000</v>
      </c>
      <c r="K62" s="1"/>
      <c r="L62" s="1"/>
    </row>
    <row r="63" spans="1:12" ht="15.75" x14ac:dyDescent="0.25">
      <c r="A63" s="69"/>
      <c r="B63" s="80">
        <v>3</v>
      </c>
      <c r="C63" s="57" t="s">
        <v>210</v>
      </c>
      <c r="D63" s="24">
        <v>90000</v>
      </c>
      <c r="E63" s="24">
        <v>20000</v>
      </c>
      <c r="F63" s="24">
        <v>40000</v>
      </c>
      <c r="G63" s="23"/>
      <c r="H63" s="23"/>
      <c r="I63" s="23"/>
      <c r="J63" s="56">
        <f t="shared" si="0"/>
        <v>150000</v>
      </c>
      <c r="K63" s="1"/>
      <c r="L63" s="1"/>
    </row>
    <row r="64" spans="1:12" ht="15.75" x14ac:dyDescent="0.25">
      <c r="A64" s="69"/>
      <c r="B64" s="80">
        <v>4</v>
      </c>
      <c r="C64" s="57" t="s">
        <v>74</v>
      </c>
      <c r="D64" s="24">
        <v>90000</v>
      </c>
      <c r="E64" s="24">
        <v>20000</v>
      </c>
      <c r="F64" s="24">
        <v>140000</v>
      </c>
      <c r="G64" s="23"/>
      <c r="H64" s="23"/>
      <c r="I64" s="23"/>
      <c r="J64" s="56">
        <f t="shared" si="0"/>
        <v>250000</v>
      </c>
      <c r="K64" s="1"/>
      <c r="L64" s="1"/>
    </row>
    <row r="65" spans="1:12" ht="16.5" thickBot="1" x14ac:dyDescent="0.3">
      <c r="A65" s="76"/>
      <c r="B65" s="81">
        <v>5</v>
      </c>
      <c r="C65" s="78" t="s">
        <v>211</v>
      </c>
      <c r="D65" s="64">
        <v>90000</v>
      </c>
      <c r="E65" s="64">
        <v>20000</v>
      </c>
      <c r="F65" s="64"/>
      <c r="G65" s="59"/>
      <c r="H65" s="59"/>
      <c r="I65" s="59">
        <v>80000</v>
      </c>
      <c r="J65" s="79">
        <f t="shared" si="0"/>
        <v>190000</v>
      </c>
      <c r="K65" s="1"/>
      <c r="L65" s="1"/>
    </row>
    <row r="66" spans="1:12" ht="15.75" x14ac:dyDescent="0.25">
      <c r="A66" s="90">
        <v>46161</v>
      </c>
      <c r="B66" s="80">
        <v>1</v>
      </c>
      <c r="C66" s="91" t="s">
        <v>212</v>
      </c>
      <c r="D66" s="24">
        <v>90000</v>
      </c>
      <c r="E66" s="24">
        <v>20000</v>
      </c>
      <c r="F66" s="24">
        <v>140000</v>
      </c>
      <c r="G66" s="24"/>
      <c r="H66" s="24"/>
      <c r="I66" s="24"/>
      <c r="J66" s="26">
        <f t="shared" si="0"/>
        <v>250000</v>
      </c>
      <c r="K66" s="1"/>
      <c r="L66" s="1"/>
    </row>
    <row r="67" spans="1:12" ht="16.5" thickBot="1" x14ac:dyDescent="0.3">
      <c r="A67" s="82"/>
      <c r="B67" s="83">
        <v>2</v>
      </c>
      <c r="C67" s="84" t="s">
        <v>213</v>
      </c>
      <c r="D67" s="85">
        <v>90000</v>
      </c>
      <c r="E67" s="85">
        <v>20000</v>
      </c>
      <c r="F67" s="85">
        <v>140000</v>
      </c>
      <c r="G67" s="63"/>
      <c r="H67" s="63"/>
      <c r="I67" s="63"/>
      <c r="J67" s="86">
        <f t="shared" si="0"/>
        <v>250000</v>
      </c>
      <c r="K67" s="1"/>
      <c r="L67" s="1"/>
    </row>
    <row r="68" spans="1:12" ht="15.75" x14ac:dyDescent="0.25">
      <c r="A68" s="90">
        <v>46162</v>
      </c>
      <c r="B68" s="67">
        <v>1</v>
      </c>
      <c r="C68" s="68" t="s">
        <v>214</v>
      </c>
      <c r="D68" s="53"/>
      <c r="E68" s="53"/>
      <c r="F68" s="53"/>
      <c r="G68" s="53"/>
      <c r="H68" s="53"/>
      <c r="I68" s="53"/>
      <c r="J68" s="55">
        <f t="shared" si="0"/>
        <v>0</v>
      </c>
      <c r="K68" s="1"/>
      <c r="L68" s="1"/>
    </row>
    <row r="69" spans="1:12" ht="15.75" x14ac:dyDescent="0.25">
      <c r="A69" s="69"/>
      <c r="B69" s="80">
        <v>2</v>
      </c>
      <c r="C69" s="57" t="s">
        <v>215</v>
      </c>
      <c r="D69" s="24">
        <v>90000</v>
      </c>
      <c r="E69" s="24">
        <v>20000</v>
      </c>
      <c r="F69" s="24">
        <v>140000</v>
      </c>
      <c r="G69" s="23"/>
      <c r="H69" s="23"/>
      <c r="I69" s="23"/>
      <c r="J69" s="56">
        <f t="shared" si="0"/>
        <v>250000</v>
      </c>
      <c r="K69" s="1"/>
      <c r="L69" s="1"/>
    </row>
    <row r="70" spans="1:12" ht="16.5" thickBot="1" x14ac:dyDescent="0.3">
      <c r="A70" s="76"/>
      <c r="B70" s="81">
        <v>3</v>
      </c>
      <c r="C70" s="78" t="s">
        <v>216</v>
      </c>
      <c r="D70" s="64">
        <v>90000</v>
      </c>
      <c r="E70" s="64">
        <v>20000</v>
      </c>
      <c r="F70" s="64">
        <v>140000</v>
      </c>
      <c r="G70" s="59"/>
      <c r="H70" s="59"/>
      <c r="I70" s="59"/>
      <c r="J70" s="79">
        <f t="shared" ref="J70:J87" si="1">SUM(D70:I70)</f>
        <v>250000</v>
      </c>
      <c r="K70" s="1"/>
      <c r="L70" s="1"/>
    </row>
    <row r="71" spans="1:12" ht="15.75" x14ac:dyDescent="0.25">
      <c r="A71" s="90">
        <v>46163</v>
      </c>
      <c r="B71" s="67">
        <v>1</v>
      </c>
      <c r="C71" s="68" t="s">
        <v>217</v>
      </c>
      <c r="D71" s="53">
        <v>90000</v>
      </c>
      <c r="E71" s="53">
        <v>20000</v>
      </c>
      <c r="F71" s="53">
        <v>140000</v>
      </c>
      <c r="G71" s="53"/>
      <c r="H71" s="53"/>
      <c r="I71" s="53"/>
      <c r="J71" s="55">
        <f t="shared" si="1"/>
        <v>250000</v>
      </c>
      <c r="K71" s="1"/>
      <c r="L71" s="1"/>
    </row>
    <row r="72" spans="1:12" ht="16.5" thickBot="1" x14ac:dyDescent="0.3">
      <c r="A72" s="76"/>
      <c r="B72" s="81">
        <v>2</v>
      </c>
      <c r="C72" s="78" t="s">
        <v>218</v>
      </c>
      <c r="D72" s="64">
        <v>90000</v>
      </c>
      <c r="E72" s="64">
        <v>20000</v>
      </c>
      <c r="F72" s="64">
        <v>140000</v>
      </c>
      <c r="G72" s="59"/>
      <c r="H72" s="59"/>
      <c r="I72" s="59"/>
      <c r="J72" s="79">
        <f t="shared" si="1"/>
        <v>250000</v>
      </c>
      <c r="K72" s="1"/>
      <c r="L72" s="1"/>
    </row>
    <row r="73" spans="1:12" ht="15.75" x14ac:dyDescent="0.25">
      <c r="A73" s="90">
        <v>46164</v>
      </c>
      <c r="B73" s="67">
        <v>1</v>
      </c>
      <c r="C73" s="68" t="s">
        <v>219</v>
      </c>
      <c r="D73" s="53">
        <v>90000</v>
      </c>
      <c r="E73" s="53">
        <v>20000</v>
      </c>
      <c r="F73" s="53">
        <v>40000</v>
      </c>
      <c r="G73" s="53"/>
      <c r="H73" s="53"/>
      <c r="I73" s="53"/>
      <c r="J73" s="55">
        <f t="shared" si="1"/>
        <v>150000</v>
      </c>
      <c r="K73" s="1"/>
      <c r="L73" s="1"/>
    </row>
    <row r="74" spans="1:12" ht="16.5" thickBot="1" x14ac:dyDescent="0.3">
      <c r="A74" s="76"/>
      <c r="B74" s="81">
        <v>2</v>
      </c>
      <c r="C74" s="78" t="s">
        <v>220</v>
      </c>
      <c r="D74" s="64">
        <v>90000</v>
      </c>
      <c r="E74" s="64">
        <v>20000</v>
      </c>
      <c r="F74" s="64">
        <v>40000</v>
      </c>
      <c r="G74" s="59"/>
      <c r="H74" s="59"/>
      <c r="I74" s="59"/>
      <c r="J74" s="62">
        <f>SUM(D74:I74)</f>
        <v>150000</v>
      </c>
      <c r="K74" s="1"/>
      <c r="L74" s="1"/>
    </row>
    <row r="75" spans="1:12" ht="15.75" x14ac:dyDescent="0.25">
      <c r="A75" s="90">
        <v>46167</v>
      </c>
      <c r="B75" s="92">
        <v>1</v>
      </c>
      <c r="C75" s="68" t="s">
        <v>221</v>
      </c>
      <c r="D75" s="53">
        <v>90000</v>
      </c>
      <c r="E75" s="53">
        <v>20000</v>
      </c>
      <c r="F75" s="53">
        <v>40000</v>
      </c>
      <c r="G75" s="53"/>
      <c r="H75" s="53"/>
      <c r="I75" s="53"/>
      <c r="J75" s="55">
        <f t="shared" si="1"/>
        <v>150000</v>
      </c>
      <c r="K75" s="1"/>
      <c r="L75" s="1"/>
    </row>
    <row r="76" spans="1:12" ht="15.75" x14ac:dyDescent="0.25">
      <c r="A76" s="69"/>
      <c r="B76" s="93">
        <v>2</v>
      </c>
      <c r="C76" s="57" t="s">
        <v>222</v>
      </c>
      <c r="D76" s="24">
        <v>90000</v>
      </c>
      <c r="E76" s="24">
        <v>20000</v>
      </c>
      <c r="F76" s="24">
        <v>40000</v>
      </c>
      <c r="G76" s="23"/>
      <c r="H76" s="23"/>
      <c r="I76" s="23"/>
      <c r="J76" s="26">
        <f t="shared" si="1"/>
        <v>150000</v>
      </c>
      <c r="K76" s="1"/>
      <c r="L76" s="1"/>
    </row>
    <row r="77" spans="1:12" ht="15.75" x14ac:dyDescent="0.25">
      <c r="A77" s="69"/>
      <c r="B77" s="93">
        <v>3</v>
      </c>
      <c r="C77" s="57" t="s">
        <v>58</v>
      </c>
      <c r="D77" s="24">
        <v>90000</v>
      </c>
      <c r="E77" s="24">
        <v>20000</v>
      </c>
      <c r="F77" s="24">
        <v>40000</v>
      </c>
      <c r="G77" s="23"/>
      <c r="H77" s="23"/>
      <c r="I77" s="23">
        <v>40000</v>
      </c>
      <c r="J77" s="26">
        <f t="shared" si="1"/>
        <v>190000</v>
      </c>
      <c r="K77" s="1"/>
      <c r="L77" s="1"/>
    </row>
    <row r="78" spans="1:12" ht="15.75" x14ac:dyDescent="0.25">
      <c r="A78" s="69"/>
      <c r="B78" s="93">
        <v>4</v>
      </c>
      <c r="C78" s="57" t="s">
        <v>223</v>
      </c>
      <c r="D78" s="24">
        <v>90000</v>
      </c>
      <c r="E78" s="24">
        <v>20000</v>
      </c>
      <c r="F78" s="24">
        <v>140000</v>
      </c>
      <c r="G78" s="23"/>
      <c r="H78" s="23"/>
      <c r="I78" s="23"/>
      <c r="J78" s="26">
        <f t="shared" si="1"/>
        <v>250000</v>
      </c>
      <c r="K78" s="1"/>
      <c r="L78" s="1"/>
    </row>
    <row r="79" spans="1:12" ht="15.75" x14ac:dyDescent="0.25">
      <c r="A79" s="69"/>
      <c r="B79" s="93">
        <v>5</v>
      </c>
      <c r="C79" s="57" t="s">
        <v>224</v>
      </c>
      <c r="D79" s="24">
        <v>90000</v>
      </c>
      <c r="E79" s="24">
        <v>20000</v>
      </c>
      <c r="F79" s="24">
        <v>40000</v>
      </c>
      <c r="G79" s="23"/>
      <c r="H79" s="23"/>
      <c r="I79" s="23"/>
      <c r="J79" s="26">
        <f t="shared" si="1"/>
        <v>150000</v>
      </c>
      <c r="K79" s="1"/>
      <c r="L79" s="1"/>
    </row>
    <row r="80" spans="1:12" ht="16.5" thickBot="1" x14ac:dyDescent="0.3">
      <c r="A80" s="76"/>
      <c r="B80" s="81">
        <v>6</v>
      </c>
      <c r="C80" s="94" t="s">
        <v>225</v>
      </c>
      <c r="D80" s="64">
        <v>90000</v>
      </c>
      <c r="E80" s="64">
        <v>20000</v>
      </c>
      <c r="F80" s="64">
        <v>40000</v>
      </c>
      <c r="G80" s="59"/>
      <c r="H80" s="59"/>
      <c r="I80" s="59"/>
      <c r="J80" s="62">
        <f t="shared" si="1"/>
        <v>150000</v>
      </c>
      <c r="K80" s="1"/>
      <c r="L80" s="1"/>
    </row>
    <row r="81" spans="1:15" ht="16.5" thickBot="1" x14ac:dyDescent="0.3">
      <c r="A81" s="87">
        <v>46168</v>
      </c>
      <c r="B81" s="88">
        <v>1</v>
      </c>
      <c r="C81" s="89" t="s">
        <v>226</v>
      </c>
      <c r="D81" s="60">
        <v>90000</v>
      </c>
      <c r="E81" s="60">
        <v>20000</v>
      </c>
      <c r="F81" s="60">
        <v>40000</v>
      </c>
      <c r="G81" s="60"/>
      <c r="H81" s="60"/>
      <c r="I81" s="60"/>
      <c r="J81" s="61">
        <f t="shared" si="1"/>
        <v>150000</v>
      </c>
      <c r="K81" s="1"/>
      <c r="L81" s="1"/>
    </row>
    <row r="82" spans="1:15" ht="16.5" thickBot="1" x14ac:dyDescent="0.3">
      <c r="A82" s="87">
        <v>46170</v>
      </c>
      <c r="B82" s="88">
        <v>1</v>
      </c>
      <c r="C82" s="89" t="s">
        <v>227</v>
      </c>
      <c r="D82" s="60">
        <v>90000</v>
      </c>
      <c r="E82" s="60">
        <v>20000</v>
      </c>
      <c r="F82" s="60">
        <v>140000</v>
      </c>
      <c r="G82" s="60"/>
      <c r="H82" s="60"/>
      <c r="I82" s="60"/>
      <c r="J82" s="61">
        <f t="shared" si="1"/>
        <v>250000</v>
      </c>
      <c r="K82" s="1"/>
      <c r="L82" s="1"/>
    </row>
    <row r="83" spans="1:15" ht="16.5" thickBot="1" x14ac:dyDescent="0.3">
      <c r="A83" s="95">
        <v>46171</v>
      </c>
      <c r="B83" s="93">
        <v>1</v>
      </c>
      <c r="C83" s="91" t="s">
        <v>228</v>
      </c>
      <c r="D83" s="48">
        <v>90000</v>
      </c>
      <c r="E83" s="24">
        <v>20000</v>
      </c>
      <c r="F83" s="24">
        <v>40000</v>
      </c>
      <c r="G83" s="24"/>
      <c r="H83" s="24"/>
      <c r="I83" s="24"/>
      <c r="J83" s="26">
        <f t="shared" si="1"/>
        <v>150000</v>
      </c>
      <c r="K83" s="1"/>
      <c r="L83" s="1"/>
    </row>
    <row r="84" spans="1:15" ht="15.75" x14ac:dyDescent="0.25">
      <c r="A84" s="69"/>
      <c r="B84" s="93">
        <v>2</v>
      </c>
      <c r="C84" s="57" t="s">
        <v>229</v>
      </c>
      <c r="D84" s="48">
        <v>90000</v>
      </c>
      <c r="E84" s="24">
        <v>20000</v>
      </c>
      <c r="F84" s="24">
        <v>40000</v>
      </c>
      <c r="G84" s="23"/>
      <c r="H84" s="23"/>
      <c r="I84" s="23"/>
      <c r="J84" s="26">
        <f t="shared" si="1"/>
        <v>150000</v>
      </c>
      <c r="K84" s="1"/>
      <c r="L84" s="1"/>
    </row>
    <row r="85" spans="1:15" ht="15.75" x14ac:dyDescent="0.25">
      <c r="A85" s="69"/>
      <c r="B85" s="93">
        <v>3</v>
      </c>
      <c r="C85" s="57" t="s">
        <v>74</v>
      </c>
      <c r="D85" s="48">
        <v>90000</v>
      </c>
      <c r="E85" s="24">
        <v>20000</v>
      </c>
      <c r="F85" s="24">
        <v>140000</v>
      </c>
      <c r="G85" s="23"/>
      <c r="H85" s="23"/>
      <c r="I85" s="23"/>
      <c r="J85" s="26">
        <f t="shared" si="1"/>
        <v>250000</v>
      </c>
      <c r="K85" s="1"/>
      <c r="L85" s="1"/>
    </row>
    <row r="86" spans="1:15" ht="15.75" x14ac:dyDescent="0.25">
      <c r="A86" s="69"/>
      <c r="B86" s="93">
        <v>4</v>
      </c>
      <c r="C86" s="57" t="s">
        <v>230</v>
      </c>
      <c r="D86" s="48">
        <v>90000</v>
      </c>
      <c r="E86" s="24">
        <v>20000</v>
      </c>
      <c r="F86" s="24">
        <v>40000</v>
      </c>
      <c r="G86" s="23"/>
      <c r="H86" s="23"/>
      <c r="I86" s="23"/>
      <c r="J86" s="26">
        <f t="shared" si="1"/>
        <v>150000</v>
      </c>
      <c r="K86" s="1"/>
      <c r="L86" s="1"/>
    </row>
    <row r="87" spans="1:15" ht="15.75" x14ac:dyDescent="0.25">
      <c r="A87" s="69"/>
      <c r="B87" s="80">
        <v>5</v>
      </c>
      <c r="C87" s="91" t="s">
        <v>231</v>
      </c>
      <c r="D87" s="48">
        <v>90000</v>
      </c>
      <c r="E87" s="24">
        <v>20000</v>
      </c>
      <c r="F87" s="24">
        <v>140000</v>
      </c>
      <c r="G87" s="23"/>
      <c r="H87" s="23"/>
      <c r="I87" s="23"/>
      <c r="J87" s="26">
        <f t="shared" si="1"/>
        <v>250000</v>
      </c>
      <c r="K87" s="1"/>
      <c r="L87" s="1"/>
    </row>
    <row r="88" spans="1:15" ht="16.5" thickBot="1" x14ac:dyDescent="0.3">
      <c r="A88" s="82" t="s">
        <v>6</v>
      </c>
      <c r="B88" s="83"/>
      <c r="C88" s="84"/>
      <c r="D88" s="85">
        <f t="shared" ref="D88:I88" si="2">SUM(D6:D87)</f>
        <v>7290000</v>
      </c>
      <c r="E88" s="85">
        <f t="shared" si="2"/>
        <v>1620000</v>
      </c>
      <c r="F88" s="85">
        <f t="shared" si="2"/>
        <v>6700000</v>
      </c>
      <c r="G88" s="63">
        <f t="shared" si="2"/>
        <v>0</v>
      </c>
      <c r="H88" s="63">
        <f t="shared" si="2"/>
        <v>0</v>
      </c>
      <c r="I88" s="63">
        <f t="shared" si="2"/>
        <v>120000</v>
      </c>
      <c r="J88" s="96">
        <f>SUM(J6:J87)</f>
        <v>15730000</v>
      </c>
      <c r="K88" s="1"/>
      <c r="L88" s="1"/>
    </row>
    <row r="89" spans="1:15" ht="18.75" x14ac:dyDescent="0.25">
      <c r="K89" s="28"/>
      <c r="L89" s="28"/>
      <c r="M89" s="22"/>
      <c r="N89" s="22"/>
      <c r="O89" s="22"/>
    </row>
    <row r="90" spans="1:15" ht="16.5" customHeight="1" x14ac:dyDescent="0.2">
      <c r="A90" s="113" t="s">
        <v>5</v>
      </c>
      <c r="B90" s="113"/>
      <c r="C90" s="113"/>
      <c r="D90" s="18"/>
      <c r="E90" s="9"/>
      <c r="F90" s="9"/>
      <c r="G90" s="9"/>
      <c r="H90" s="9"/>
      <c r="I90" s="100" t="s">
        <v>2</v>
      </c>
      <c r="J90" s="100"/>
      <c r="M90" s="9"/>
      <c r="N90" s="22"/>
      <c r="O90" s="22"/>
    </row>
    <row r="91" spans="1:15" ht="15.75" x14ac:dyDescent="0.2">
      <c r="A91" s="113" t="s">
        <v>13</v>
      </c>
      <c r="B91" s="113"/>
      <c r="C91" s="113"/>
      <c r="D91" s="18"/>
      <c r="E91" s="9"/>
      <c r="F91" s="9"/>
      <c r="G91" s="9"/>
      <c r="H91" s="9"/>
      <c r="I91" s="101" t="s">
        <v>24</v>
      </c>
      <c r="J91" s="101"/>
      <c r="M91" s="9"/>
      <c r="N91" s="22"/>
      <c r="O91" s="22"/>
    </row>
    <row r="92" spans="1:15" ht="15.75" x14ac:dyDescent="0.2">
      <c r="A92" s="11"/>
      <c r="B92" s="11"/>
      <c r="C92" s="13"/>
      <c r="D92" s="18"/>
      <c r="E92" s="9"/>
      <c r="F92" s="9"/>
      <c r="G92" s="9"/>
      <c r="H92" s="9"/>
      <c r="I92" s="10"/>
      <c r="J92" s="14"/>
      <c r="M92" s="9"/>
      <c r="N92" s="22"/>
      <c r="O92" s="22"/>
    </row>
    <row r="93" spans="1:15" ht="15.75" x14ac:dyDescent="0.2">
      <c r="A93" s="11"/>
      <c r="B93" s="11"/>
      <c r="C93" s="13"/>
      <c r="D93" s="17"/>
      <c r="E93" s="9"/>
      <c r="F93" s="9"/>
      <c r="G93" s="9"/>
      <c r="H93" s="9"/>
      <c r="I93" s="10"/>
      <c r="J93" s="15"/>
      <c r="M93" s="9"/>
      <c r="N93" s="22"/>
      <c r="O93" s="22"/>
    </row>
    <row r="94" spans="1:15" ht="15.75" x14ac:dyDescent="0.2">
      <c r="A94" s="114" t="s">
        <v>9</v>
      </c>
      <c r="B94" s="114"/>
      <c r="C94" s="114"/>
      <c r="D94" s="18"/>
      <c r="E94" s="9"/>
      <c r="F94" s="9"/>
      <c r="G94" s="9"/>
      <c r="H94" s="9"/>
      <c r="I94" s="100" t="s">
        <v>25</v>
      </c>
      <c r="J94" s="100"/>
      <c r="M94" s="9"/>
      <c r="N94" s="22"/>
      <c r="O94" s="22"/>
    </row>
    <row r="95" spans="1:15" ht="15.75" x14ac:dyDescent="0.25">
      <c r="A95" s="20"/>
      <c r="B95" s="20"/>
      <c r="C95" s="20"/>
      <c r="D95" s="112" t="s">
        <v>4</v>
      </c>
      <c r="E95" s="112"/>
      <c r="F95" s="112"/>
      <c r="G95" s="21"/>
      <c r="H95" s="21"/>
      <c r="I95" s="21"/>
      <c r="J95" s="20"/>
      <c r="K95" s="20"/>
      <c r="L95" s="20"/>
      <c r="M95" s="20"/>
      <c r="N95" s="22"/>
      <c r="O95" s="22"/>
    </row>
    <row r="96" spans="1:15" ht="15.75" x14ac:dyDescent="0.25">
      <c r="A96" s="20"/>
      <c r="B96" s="20"/>
      <c r="C96" s="20"/>
      <c r="D96" s="100" t="s">
        <v>3</v>
      </c>
      <c r="E96" s="100"/>
      <c r="F96" s="100"/>
      <c r="G96" s="13"/>
      <c r="H96" s="13"/>
      <c r="I96" s="13"/>
      <c r="J96" s="20"/>
      <c r="K96" s="20"/>
      <c r="L96" s="20"/>
      <c r="M96" s="20"/>
      <c r="N96" s="22"/>
      <c r="O96" s="22"/>
    </row>
    <row r="97" spans="1:15" ht="15.75" x14ac:dyDescent="0.25">
      <c r="A97" s="20"/>
      <c r="B97" s="20"/>
      <c r="C97" s="20"/>
      <c r="D97" s="20"/>
      <c r="E97" s="12"/>
      <c r="F97" s="12"/>
      <c r="G97" s="12"/>
      <c r="H97" s="12"/>
      <c r="I97" s="12"/>
      <c r="J97" s="20"/>
      <c r="K97" s="20"/>
      <c r="L97" s="20"/>
      <c r="M97" s="20"/>
      <c r="N97" s="22"/>
      <c r="O97" s="22"/>
    </row>
    <row r="98" spans="1:15" ht="15.75" x14ac:dyDescent="0.2">
      <c r="A98" s="21"/>
      <c r="B98" s="21"/>
      <c r="C98" s="21"/>
      <c r="D98" s="21"/>
      <c r="E98" s="16"/>
      <c r="F98" s="8"/>
      <c r="G98" s="10"/>
      <c r="H98" s="10"/>
      <c r="I98" s="10"/>
      <c r="J98" s="21"/>
      <c r="K98" s="21"/>
      <c r="L98" s="21"/>
      <c r="M98" s="21"/>
      <c r="N98" s="22"/>
      <c r="O98" s="22"/>
    </row>
    <row r="99" spans="1:15" ht="15.75" x14ac:dyDescent="0.2">
      <c r="A99" s="9"/>
      <c r="B99" s="9"/>
      <c r="C99" s="21"/>
      <c r="D99" s="112" t="s">
        <v>12</v>
      </c>
      <c r="E99" s="112"/>
      <c r="F99" s="112"/>
      <c r="G99" s="21"/>
      <c r="H99" s="21"/>
      <c r="I99" s="21"/>
      <c r="J99" s="9"/>
      <c r="K99" s="19"/>
      <c r="L99" s="9"/>
      <c r="M99" s="21"/>
      <c r="N99" s="22"/>
      <c r="O99" s="22"/>
    </row>
    <row r="100" spans="1:15" ht="15.75" x14ac:dyDescent="0.25">
      <c r="N100" s="22"/>
      <c r="O100" s="22"/>
    </row>
    <row r="101" spans="1:15" ht="15.75" x14ac:dyDescent="0.25">
      <c r="N101" s="22"/>
      <c r="O101" s="22"/>
    </row>
    <row r="102" spans="1:15" ht="15.75" x14ac:dyDescent="0.25">
      <c r="N102" s="22"/>
      <c r="O102" s="22"/>
    </row>
    <row r="103" spans="1:15" ht="23.25" customHeight="1" x14ac:dyDescent="0.25"/>
  </sheetData>
  <mergeCells count="17">
    <mergeCell ref="I94:J94"/>
    <mergeCell ref="D95:F95"/>
    <mergeCell ref="D96:F96"/>
    <mergeCell ref="D99:F99"/>
    <mergeCell ref="A90:C90"/>
    <mergeCell ref="A91:C91"/>
    <mergeCell ref="A94:C94"/>
    <mergeCell ref="A1:J1"/>
    <mergeCell ref="A2:J2"/>
    <mergeCell ref="A3:J3"/>
    <mergeCell ref="I90:J90"/>
    <mergeCell ref="I91:J91"/>
    <mergeCell ref="A4:A5"/>
    <mergeCell ref="B4:B5"/>
    <mergeCell ref="C4:C5"/>
    <mergeCell ref="D4:I4"/>
    <mergeCell ref="J4:J5"/>
  </mergeCells>
  <pageMargins left="0.11811023622047245" right="0.11811023622047245" top="0.39370078740157483" bottom="0.39370078740157483" header="0.31496062992125984" footer="0.31496062992125984"/>
  <pageSetup paperSize="9" scale="76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37525-BC35-4533-8A7D-F93422BBD2E0}">
  <dimension ref="A1:BH129"/>
  <sheetViews>
    <sheetView topLeftCell="A110" zoomScale="85" zoomScaleNormal="85" workbookViewId="0">
      <selection activeCell="H125" sqref="H125"/>
    </sheetView>
  </sheetViews>
  <sheetFormatPr defaultColWidth="9.140625" defaultRowHeight="15" x14ac:dyDescent="0.25"/>
  <cols>
    <col min="1" max="1" width="5" style="3" customWidth="1"/>
    <col min="2" max="2" width="14.5703125" style="3" customWidth="1"/>
    <col min="3" max="3" width="38.42578125" style="7" bestFit="1" customWidth="1"/>
    <col min="4" max="4" width="17.140625" style="3" bestFit="1" customWidth="1"/>
    <col min="5" max="5" width="17.140625" style="3" customWidth="1"/>
    <col min="6" max="7" width="15.7109375" style="3" bestFit="1" customWidth="1"/>
    <col min="8" max="8" width="21.7109375" style="3" bestFit="1" customWidth="1"/>
    <col min="9" max="10" width="15.7109375" style="3" bestFit="1" customWidth="1"/>
    <col min="11" max="11" width="15.85546875" style="51" customWidth="1"/>
    <col min="12" max="16384" width="9.140625" style="3"/>
  </cols>
  <sheetData>
    <row r="1" spans="1:60" s="30" customFormat="1" ht="15.75" x14ac:dyDescent="0.25">
      <c r="A1" s="122" t="s">
        <v>26</v>
      </c>
      <c r="B1" s="122"/>
      <c r="C1" s="115"/>
      <c r="D1" s="122"/>
      <c r="E1" s="122"/>
      <c r="F1" s="122"/>
      <c r="G1" s="122"/>
      <c r="H1" s="122"/>
      <c r="I1" s="122"/>
      <c r="J1" s="122"/>
      <c r="K1" s="123"/>
    </row>
    <row r="2" spans="1:60" ht="16.5" thickBot="1" x14ac:dyDescent="0.3">
      <c r="A2" s="124">
        <v>46143</v>
      </c>
      <c r="B2" s="122"/>
      <c r="C2" s="115"/>
      <c r="D2" s="122"/>
      <c r="E2" s="122"/>
      <c r="F2" s="122"/>
      <c r="G2" s="122"/>
      <c r="H2" s="122"/>
      <c r="I2" s="122"/>
      <c r="J2" s="122"/>
      <c r="K2" s="123"/>
    </row>
    <row r="3" spans="1:60" ht="16.5" customHeight="1" thickBot="1" x14ac:dyDescent="0.3">
      <c r="A3" s="125" t="s">
        <v>0</v>
      </c>
      <c r="B3" s="125" t="s">
        <v>7</v>
      </c>
      <c r="C3" s="127" t="s">
        <v>1</v>
      </c>
      <c r="D3" s="129" t="s">
        <v>27</v>
      </c>
      <c r="E3" s="130"/>
      <c r="F3" s="130"/>
      <c r="G3" s="130"/>
      <c r="H3" s="130"/>
      <c r="I3" s="130"/>
      <c r="J3" s="131"/>
      <c r="K3" s="132" t="s">
        <v>8</v>
      </c>
    </row>
    <row r="4" spans="1:60" s="34" customFormat="1" ht="27" customHeight="1" thickBot="1" x14ac:dyDescent="0.3">
      <c r="A4" s="126"/>
      <c r="B4" s="126"/>
      <c r="C4" s="128"/>
      <c r="D4" s="31" t="s">
        <v>28</v>
      </c>
      <c r="E4" s="31" t="s">
        <v>126</v>
      </c>
      <c r="F4" s="25" t="s">
        <v>29</v>
      </c>
      <c r="G4" s="25" t="s">
        <v>30</v>
      </c>
      <c r="H4" s="25" t="s">
        <v>31</v>
      </c>
      <c r="I4" s="25" t="s">
        <v>32</v>
      </c>
      <c r="J4" s="32" t="s">
        <v>33</v>
      </c>
      <c r="K4" s="1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</row>
    <row r="5" spans="1:60" s="40" customFormat="1" ht="15.75" x14ac:dyDescent="0.25">
      <c r="A5" s="35">
        <v>1</v>
      </c>
      <c r="B5" s="36">
        <v>46143</v>
      </c>
      <c r="C5" s="37" t="s">
        <v>39</v>
      </c>
      <c r="D5" s="29">
        <v>783932</v>
      </c>
      <c r="E5" s="23"/>
      <c r="F5" s="5"/>
      <c r="G5" s="5"/>
      <c r="H5" s="5"/>
      <c r="I5" s="5"/>
      <c r="J5" s="5"/>
      <c r="K5" s="39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s="40" customFormat="1" ht="15.75" x14ac:dyDescent="0.25">
      <c r="A6" s="35">
        <v>2</v>
      </c>
      <c r="B6" s="41"/>
      <c r="C6" s="37" t="s">
        <v>40</v>
      </c>
      <c r="D6" s="29">
        <v>242039</v>
      </c>
      <c r="E6" s="23"/>
      <c r="F6" s="5"/>
      <c r="G6" s="5"/>
      <c r="H6" s="5"/>
      <c r="I6" s="5"/>
      <c r="J6" s="5"/>
      <c r="K6" s="3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s="40" customFormat="1" ht="15.75" x14ac:dyDescent="0.25">
      <c r="A7" s="35">
        <v>3</v>
      </c>
      <c r="B7" s="36">
        <v>46144</v>
      </c>
      <c r="C7" s="37" t="s">
        <v>99</v>
      </c>
      <c r="D7" s="5"/>
      <c r="E7" s="5"/>
      <c r="F7" s="5"/>
      <c r="G7" s="5"/>
      <c r="H7" s="5"/>
      <c r="I7" s="5"/>
      <c r="J7" s="44">
        <v>35000</v>
      </c>
      <c r="K7" s="39" t="s">
        <v>127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s="40" customFormat="1" ht="15.75" x14ac:dyDescent="0.25">
      <c r="A8" s="35">
        <v>4</v>
      </c>
      <c r="B8" s="41"/>
      <c r="C8" s="37" t="s">
        <v>41</v>
      </c>
      <c r="D8" s="29">
        <v>150000</v>
      </c>
      <c r="E8" s="5"/>
      <c r="F8" s="5"/>
      <c r="G8" s="5"/>
      <c r="H8" s="5"/>
      <c r="I8" s="5"/>
      <c r="J8" s="5"/>
      <c r="K8" s="3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s="40" customFormat="1" ht="15.75" x14ac:dyDescent="0.25">
      <c r="A9" s="35">
        <v>5</v>
      </c>
      <c r="B9" s="41"/>
      <c r="C9" s="37" t="s">
        <v>42</v>
      </c>
      <c r="D9" s="29">
        <v>150000</v>
      </c>
      <c r="E9" s="5"/>
      <c r="F9" s="5"/>
      <c r="G9" s="5"/>
      <c r="H9" s="5"/>
      <c r="I9" s="5"/>
      <c r="J9" s="5"/>
      <c r="K9" s="39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</row>
    <row r="10" spans="1:60" s="40" customFormat="1" ht="15.75" x14ac:dyDescent="0.25">
      <c r="A10" s="35">
        <v>6</v>
      </c>
      <c r="B10" s="36">
        <v>46146</v>
      </c>
      <c r="C10" s="37" t="s">
        <v>43</v>
      </c>
      <c r="D10" s="29">
        <v>150000</v>
      </c>
      <c r="E10" s="5"/>
      <c r="F10" s="5"/>
      <c r="G10" s="5"/>
      <c r="H10" s="5"/>
      <c r="I10" s="5"/>
      <c r="J10" s="5"/>
      <c r="K10" s="39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</row>
    <row r="11" spans="1:60" s="40" customFormat="1" ht="15.75" x14ac:dyDescent="0.25">
      <c r="A11" s="35">
        <v>7</v>
      </c>
      <c r="B11" s="41"/>
      <c r="C11" s="37" t="s">
        <v>44</v>
      </c>
      <c r="D11" s="29">
        <v>150000</v>
      </c>
      <c r="E11" s="5"/>
      <c r="F11" s="5"/>
      <c r="G11" s="5"/>
      <c r="H11" s="5"/>
      <c r="I11" s="5"/>
      <c r="J11" s="5"/>
      <c r="K11" s="39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</row>
    <row r="12" spans="1:60" s="40" customFormat="1" ht="15.75" x14ac:dyDescent="0.25">
      <c r="A12" s="35">
        <v>8</v>
      </c>
      <c r="B12" s="41"/>
      <c r="C12" s="37" t="s">
        <v>45</v>
      </c>
      <c r="D12" s="29">
        <v>162055</v>
      </c>
      <c r="E12" s="5"/>
      <c r="F12" s="5"/>
      <c r="G12" s="5"/>
      <c r="H12" s="5"/>
      <c r="I12" s="5"/>
      <c r="J12" s="5"/>
      <c r="K12" s="39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</row>
    <row r="13" spans="1:60" s="40" customFormat="1" ht="15.75" x14ac:dyDescent="0.25">
      <c r="A13" s="35">
        <v>9</v>
      </c>
      <c r="B13" s="41"/>
      <c r="C13" s="37" t="s">
        <v>35</v>
      </c>
      <c r="D13" s="5"/>
      <c r="E13" s="5"/>
      <c r="F13" s="5"/>
      <c r="G13" s="5"/>
      <c r="H13" s="5"/>
      <c r="I13" s="5"/>
      <c r="J13" s="44">
        <v>225000</v>
      </c>
      <c r="K13" s="39" t="s">
        <v>128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</row>
    <row r="14" spans="1:60" s="40" customFormat="1" ht="15.75" x14ac:dyDescent="0.25">
      <c r="A14" s="35">
        <v>10</v>
      </c>
      <c r="B14" s="41"/>
      <c r="C14" s="37" t="s">
        <v>46</v>
      </c>
      <c r="D14" s="29">
        <v>282712</v>
      </c>
      <c r="E14" s="5"/>
      <c r="F14" s="5"/>
      <c r="G14" s="5"/>
      <c r="H14" s="5"/>
      <c r="I14" s="5"/>
      <c r="J14" s="5"/>
      <c r="K14" s="39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</row>
    <row r="15" spans="1:60" s="40" customFormat="1" ht="15.75" x14ac:dyDescent="0.25">
      <c r="A15" s="35">
        <v>11</v>
      </c>
      <c r="B15" s="41"/>
      <c r="C15" s="37" t="s">
        <v>47</v>
      </c>
      <c r="D15" s="29">
        <v>150000</v>
      </c>
      <c r="E15" s="5"/>
      <c r="F15" s="5"/>
      <c r="G15" s="5"/>
      <c r="H15" s="5"/>
      <c r="I15" s="5"/>
      <c r="J15" s="5"/>
      <c r="K15" s="39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</row>
    <row r="16" spans="1:60" s="40" customFormat="1" ht="15.75" x14ac:dyDescent="0.25">
      <c r="A16" s="35">
        <v>12</v>
      </c>
      <c r="B16" s="41"/>
      <c r="C16" s="37" t="s">
        <v>48</v>
      </c>
      <c r="D16" s="29">
        <v>250000</v>
      </c>
      <c r="E16" s="5"/>
      <c r="F16" s="5"/>
      <c r="G16" s="5"/>
      <c r="H16" s="5"/>
      <c r="I16" s="5"/>
      <c r="J16" s="5"/>
      <c r="K16" s="3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</row>
    <row r="17" spans="1:60" s="40" customFormat="1" ht="15.75" x14ac:dyDescent="0.25">
      <c r="A17" s="35">
        <v>13</v>
      </c>
      <c r="B17" s="41"/>
      <c r="C17" s="37" t="s">
        <v>49</v>
      </c>
      <c r="D17" s="29">
        <v>336930</v>
      </c>
      <c r="E17" s="5"/>
      <c r="F17" s="5"/>
      <c r="G17" s="5"/>
      <c r="H17" s="5"/>
      <c r="I17" s="5"/>
      <c r="J17" s="5"/>
      <c r="K17" s="3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</row>
    <row r="18" spans="1:60" s="40" customFormat="1" ht="15.75" x14ac:dyDescent="0.25">
      <c r="A18" s="35">
        <v>14</v>
      </c>
      <c r="B18" s="41"/>
      <c r="C18" s="37" t="s">
        <v>51</v>
      </c>
      <c r="D18" s="29">
        <v>150000</v>
      </c>
      <c r="E18" s="5"/>
      <c r="F18" s="5"/>
      <c r="G18" s="5"/>
      <c r="H18" s="5"/>
      <c r="I18" s="5"/>
      <c r="J18" s="5"/>
      <c r="K18" s="39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0" s="40" customFormat="1" ht="15.75" x14ac:dyDescent="0.25">
      <c r="A19" s="35">
        <v>15</v>
      </c>
      <c r="B19" s="36">
        <v>46147</v>
      </c>
      <c r="C19" s="37" t="s">
        <v>52</v>
      </c>
      <c r="D19" s="29">
        <v>150000</v>
      </c>
      <c r="E19" s="5"/>
      <c r="F19" s="5"/>
      <c r="G19" s="5"/>
      <c r="H19" s="5"/>
      <c r="I19" s="5"/>
      <c r="J19" s="5"/>
      <c r="K19" s="39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</row>
    <row r="20" spans="1:60" s="40" customFormat="1" ht="15.75" x14ac:dyDescent="0.25">
      <c r="A20" s="35">
        <v>16</v>
      </c>
      <c r="B20" s="41"/>
      <c r="C20" s="37" t="s">
        <v>53</v>
      </c>
      <c r="D20" s="29">
        <v>250000</v>
      </c>
      <c r="E20" s="5"/>
      <c r="F20" s="5"/>
      <c r="G20" s="5"/>
      <c r="H20" s="5"/>
      <c r="I20" s="5"/>
      <c r="J20" s="5"/>
      <c r="K20" s="39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</row>
    <row r="21" spans="1:60" s="40" customFormat="1" ht="15.75" x14ac:dyDescent="0.25">
      <c r="A21" s="35">
        <v>17</v>
      </c>
      <c r="B21" s="41"/>
      <c r="C21" s="37" t="s">
        <v>54</v>
      </c>
      <c r="D21" s="29">
        <v>326324</v>
      </c>
      <c r="E21" s="5"/>
      <c r="F21" s="5"/>
      <c r="G21" s="5"/>
      <c r="H21" s="5"/>
      <c r="I21" s="5"/>
      <c r="J21" s="5"/>
      <c r="K21" s="39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</row>
    <row r="22" spans="1:60" s="40" customFormat="1" ht="15.75" x14ac:dyDescent="0.25">
      <c r="A22" s="35">
        <v>18</v>
      </c>
      <c r="B22" s="41"/>
      <c r="C22" s="37" t="s">
        <v>129</v>
      </c>
      <c r="D22" s="5"/>
      <c r="E22" s="5"/>
      <c r="F22" s="5"/>
      <c r="G22" s="5"/>
      <c r="H22" s="5"/>
      <c r="I22" s="45">
        <v>4277342</v>
      </c>
      <c r="J22" s="5"/>
      <c r="K22" s="39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</row>
    <row r="23" spans="1:60" s="40" customFormat="1" ht="15.75" x14ac:dyDescent="0.25">
      <c r="A23" s="35">
        <v>19</v>
      </c>
      <c r="B23" s="41"/>
      <c r="C23" s="37" t="s">
        <v>130</v>
      </c>
      <c r="D23" s="5"/>
      <c r="E23" s="5"/>
      <c r="F23" s="5"/>
      <c r="G23" s="5"/>
      <c r="H23" s="5"/>
      <c r="I23" s="5"/>
      <c r="J23" s="44">
        <v>60000</v>
      </c>
      <c r="K23" s="39" t="s">
        <v>131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</row>
    <row r="24" spans="1:60" s="40" customFormat="1" ht="15.75" x14ac:dyDescent="0.25">
      <c r="A24" s="35">
        <v>20</v>
      </c>
      <c r="B24" s="36">
        <v>46148</v>
      </c>
      <c r="C24" s="37" t="s">
        <v>132</v>
      </c>
      <c r="D24" s="5"/>
      <c r="E24" s="5"/>
      <c r="F24" s="42">
        <v>129999</v>
      </c>
      <c r="G24" s="5"/>
      <c r="H24" s="5"/>
      <c r="I24" s="5"/>
      <c r="J24" s="5"/>
      <c r="K24" s="3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</row>
    <row r="25" spans="1:60" s="40" customFormat="1" ht="15.75" x14ac:dyDescent="0.25">
      <c r="A25" s="35">
        <v>21</v>
      </c>
      <c r="B25" s="41"/>
      <c r="C25" s="37" t="s">
        <v>133</v>
      </c>
      <c r="D25" s="5"/>
      <c r="E25" s="5"/>
      <c r="F25" s="42">
        <v>208761</v>
      </c>
      <c r="G25" s="5"/>
      <c r="H25" s="5"/>
      <c r="I25" s="5"/>
      <c r="J25" s="5"/>
      <c r="K25" s="39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</row>
    <row r="26" spans="1:60" s="40" customFormat="1" ht="15.75" x14ac:dyDescent="0.25">
      <c r="A26" s="35">
        <v>22</v>
      </c>
      <c r="B26" s="41"/>
      <c r="C26" s="37" t="s">
        <v>55</v>
      </c>
      <c r="D26" s="29">
        <v>363381</v>
      </c>
      <c r="E26" s="5"/>
      <c r="F26" s="5"/>
      <c r="G26" s="5"/>
      <c r="H26" s="5"/>
      <c r="I26" s="5"/>
      <c r="J26" s="5"/>
      <c r="K26" s="39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</row>
    <row r="27" spans="1:60" s="40" customFormat="1" ht="15.75" x14ac:dyDescent="0.25">
      <c r="A27" s="35">
        <v>23</v>
      </c>
      <c r="B27" s="36">
        <v>46149</v>
      </c>
      <c r="C27" s="37" t="s">
        <v>106</v>
      </c>
      <c r="D27" s="5"/>
      <c r="F27" s="5"/>
      <c r="G27" s="5"/>
      <c r="H27" s="5"/>
      <c r="I27" s="5"/>
      <c r="J27" s="44">
        <v>90000</v>
      </c>
      <c r="K27" s="39" t="s">
        <v>34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</row>
    <row r="28" spans="1:60" s="40" customFormat="1" ht="15.75" x14ac:dyDescent="0.25">
      <c r="A28" s="35">
        <v>24</v>
      </c>
      <c r="B28" s="41"/>
      <c r="C28" s="37" t="s">
        <v>130</v>
      </c>
      <c r="D28" s="5"/>
      <c r="F28" s="5"/>
      <c r="G28" s="5"/>
      <c r="H28" s="5"/>
      <c r="I28" s="5"/>
      <c r="J28" s="44">
        <v>60000</v>
      </c>
      <c r="K28" s="39" t="s">
        <v>131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</row>
    <row r="29" spans="1:60" s="40" customFormat="1" ht="15.75" x14ac:dyDescent="0.25">
      <c r="A29" s="35">
        <v>25</v>
      </c>
      <c r="B29" s="41"/>
      <c r="C29" s="37" t="s">
        <v>107</v>
      </c>
      <c r="D29" s="5"/>
      <c r="F29" s="5"/>
      <c r="G29" s="5"/>
      <c r="H29" s="38">
        <v>873300</v>
      </c>
      <c r="I29" s="5"/>
      <c r="J29" s="5"/>
      <c r="K29" s="39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</row>
    <row r="30" spans="1:60" s="40" customFormat="1" ht="15.75" x14ac:dyDescent="0.25">
      <c r="A30" s="35">
        <v>26</v>
      </c>
      <c r="B30" s="41"/>
      <c r="C30" s="37" t="s">
        <v>56</v>
      </c>
      <c r="D30" s="5"/>
      <c r="F30" s="42">
        <v>250000</v>
      </c>
      <c r="G30" s="5"/>
      <c r="H30" s="5"/>
      <c r="I30" s="5"/>
      <c r="J30" s="5"/>
      <c r="K30" s="39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</row>
    <row r="31" spans="1:60" s="40" customFormat="1" ht="15.75" x14ac:dyDescent="0.25">
      <c r="A31" s="35">
        <v>27</v>
      </c>
      <c r="B31" s="41"/>
      <c r="C31" s="37" t="s">
        <v>57</v>
      </c>
      <c r="D31" s="5"/>
      <c r="F31" s="42">
        <v>559359</v>
      </c>
      <c r="G31" s="5"/>
      <c r="H31" s="5"/>
      <c r="I31" s="5"/>
      <c r="J31" s="5"/>
      <c r="K31" s="39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</row>
    <row r="32" spans="1:60" s="40" customFormat="1" ht="15.75" x14ac:dyDescent="0.25">
      <c r="A32" s="35">
        <v>28</v>
      </c>
      <c r="B32" s="41"/>
      <c r="C32" s="37" t="s">
        <v>58</v>
      </c>
      <c r="D32" s="5"/>
      <c r="F32" s="42">
        <v>150000</v>
      </c>
      <c r="G32" s="5"/>
      <c r="H32" s="5"/>
      <c r="I32" s="5"/>
      <c r="J32" s="5"/>
      <c r="K32" s="39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</row>
    <row r="33" spans="1:60" s="40" customFormat="1" ht="15.75" x14ac:dyDescent="0.25">
      <c r="A33" s="35">
        <v>29</v>
      </c>
      <c r="B33" s="41"/>
      <c r="C33" s="37" t="s">
        <v>59</v>
      </c>
      <c r="D33" s="5"/>
      <c r="F33" s="42">
        <v>651221</v>
      </c>
      <c r="G33" s="5"/>
      <c r="H33" s="5"/>
      <c r="I33" s="5"/>
      <c r="J33" s="5"/>
      <c r="K33" s="39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</row>
    <row r="34" spans="1:60" s="40" customFormat="1" ht="15.75" x14ac:dyDescent="0.25">
      <c r="A34" s="35">
        <v>30</v>
      </c>
      <c r="B34" s="41"/>
      <c r="C34" s="37" t="s">
        <v>96</v>
      </c>
      <c r="D34" s="5"/>
      <c r="F34" s="5"/>
      <c r="G34" s="43">
        <v>139113</v>
      </c>
      <c r="H34" s="5"/>
      <c r="I34" s="5"/>
      <c r="J34" s="5"/>
      <c r="K34" s="39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</row>
    <row r="35" spans="1:60" s="40" customFormat="1" ht="15.75" x14ac:dyDescent="0.25">
      <c r="A35" s="35">
        <v>31</v>
      </c>
      <c r="B35" s="36">
        <v>46150</v>
      </c>
      <c r="C35" s="37" t="s">
        <v>62</v>
      </c>
      <c r="D35" s="29">
        <v>760145</v>
      </c>
      <c r="E35" s="5"/>
      <c r="F35" s="5"/>
      <c r="G35" s="5"/>
      <c r="H35" s="5"/>
      <c r="I35" s="5"/>
      <c r="J35" s="5"/>
      <c r="K35" s="39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</row>
    <row r="36" spans="1:60" s="40" customFormat="1" ht="15.75" x14ac:dyDescent="0.25">
      <c r="A36" s="35">
        <v>32</v>
      </c>
      <c r="B36" s="41"/>
      <c r="C36" s="37" t="s">
        <v>63</v>
      </c>
      <c r="D36" s="29">
        <v>150000</v>
      </c>
      <c r="E36" s="5"/>
      <c r="F36" s="5"/>
      <c r="G36" s="5"/>
      <c r="H36" s="5"/>
      <c r="I36" s="5"/>
      <c r="J36" s="5"/>
      <c r="K36" s="39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</row>
    <row r="37" spans="1:60" s="40" customFormat="1" ht="15.75" x14ac:dyDescent="0.25">
      <c r="A37" s="35">
        <v>33</v>
      </c>
      <c r="B37" s="41"/>
      <c r="C37" s="37" t="s">
        <v>64</v>
      </c>
      <c r="D37" s="29">
        <v>301047</v>
      </c>
      <c r="E37" s="5"/>
      <c r="F37" s="5"/>
      <c r="G37" s="5"/>
      <c r="H37" s="5"/>
      <c r="I37" s="5"/>
      <c r="J37" s="5"/>
      <c r="K37" s="39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</row>
    <row r="38" spans="1:60" s="40" customFormat="1" ht="15.75" x14ac:dyDescent="0.25">
      <c r="A38" s="35">
        <v>34</v>
      </c>
      <c r="B38" s="36">
        <v>46151</v>
      </c>
      <c r="C38" s="37" t="s">
        <v>108</v>
      </c>
      <c r="D38" s="29">
        <v>503169</v>
      </c>
      <c r="E38" s="5"/>
      <c r="F38" s="5"/>
      <c r="G38" s="5"/>
      <c r="H38" s="5"/>
      <c r="I38" s="5"/>
      <c r="J38" s="5"/>
      <c r="K38" s="39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</row>
    <row r="39" spans="1:60" s="40" customFormat="1" ht="15.75" x14ac:dyDescent="0.25">
      <c r="A39" s="35">
        <v>35</v>
      </c>
      <c r="B39" s="41"/>
      <c r="C39" s="37" t="s">
        <v>134</v>
      </c>
      <c r="D39" s="29">
        <v>558280</v>
      </c>
      <c r="E39" s="5"/>
      <c r="F39" s="5"/>
      <c r="G39" s="5"/>
      <c r="H39" s="5"/>
      <c r="I39" s="5"/>
      <c r="J39" s="5"/>
      <c r="K39" s="39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</row>
    <row r="40" spans="1:60" s="40" customFormat="1" ht="15.75" x14ac:dyDescent="0.25">
      <c r="A40" s="35">
        <v>36</v>
      </c>
      <c r="B40" s="41"/>
      <c r="C40" s="37" t="s">
        <v>109</v>
      </c>
      <c r="D40" s="5"/>
      <c r="E40" s="5"/>
      <c r="F40" s="5"/>
      <c r="G40" s="5"/>
      <c r="H40" s="38">
        <v>4850680</v>
      </c>
      <c r="I40" s="5"/>
      <c r="J40" s="5"/>
      <c r="K40" s="39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</row>
    <row r="41" spans="1:60" s="40" customFormat="1" ht="15.75" x14ac:dyDescent="0.25">
      <c r="A41" s="35">
        <v>37</v>
      </c>
      <c r="B41" s="36">
        <v>46152</v>
      </c>
      <c r="C41" s="37" t="s">
        <v>135</v>
      </c>
      <c r="D41" s="5"/>
      <c r="E41" s="5"/>
      <c r="F41" s="5"/>
      <c r="G41" s="5"/>
      <c r="H41" s="38">
        <v>873300</v>
      </c>
      <c r="I41" s="5"/>
      <c r="J41" s="5"/>
      <c r="K41" s="39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</row>
    <row r="42" spans="1:60" s="40" customFormat="1" ht="15.75" x14ac:dyDescent="0.25">
      <c r="A42" s="35">
        <v>38</v>
      </c>
      <c r="B42" s="36">
        <v>46153</v>
      </c>
      <c r="C42" s="37" t="s">
        <v>110</v>
      </c>
      <c r="D42" s="5"/>
      <c r="E42" s="38">
        <v>140000</v>
      </c>
      <c r="F42" s="5"/>
      <c r="G42" s="5"/>
      <c r="H42" s="5"/>
      <c r="I42" s="5"/>
      <c r="J42" s="5"/>
      <c r="K42" s="39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</row>
    <row r="43" spans="1:60" s="40" customFormat="1" ht="15.75" x14ac:dyDescent="0.25">
      <c r="A43" s="35">
        <v>39</v>
      </c>
      <c r="B43" s="41"/>
      <c r="C43" s="37" t="s">
        <v>136</v>
      </c>
      <c r="D43" s="5"/>
      <c r="E43" s="5"/>
      <c r="F43" s="5"/>
      <c r="G43" s="5"/>
      <c r="H43" s="5"/>
      <c r="I43" s="5"/>
      <c r="J43" s="44">
        <v>303000</v>
      </c>
      <c r="K43" s="39" t="s">
        <v>137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</row>
    <row r="44" spans="1:60" s="40" customFormat="1" ht="15.75" x14ac:dyDescent="0.25">
      <c r="A44" s="35">
        <v>40</v>
      </c>
      <c r="B44" s="41"/>
      <c r="C44" s="37" t="s">
        <v>65</v>
      </c>
      <c r="D44" s="29">
        <v>150000</v>
      </c>
      <c r="E44" s="5"/>
      <c r="F44" s="5"/>
      <c r="G44" s="5"/>
      <c r="H44" s="5"/>
      <c r="I44" s="5"/>
      <c r="J44" s="5"/>
      <c r="K44" s="39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</row>
    <row r="45" spans="1:60" s="40" customFormat="1" ht="15.75" x14ac:dyDescent="0.25">
      <c r="A45" s="35">
        <v>41</v>
      </c>
      <c r="B45" s="41"/>
      <c r="C45" s="37" t="s">
        <v>66</v>
      </c>
      <c r="D45" s="29">
        <v>501221</v>
      </c>
      <c r="E45" s="5"/>
      <c r="F45" s="5"/>
      <c r="G45" s="5"/>
      <c r="H45" s="5"/>
      <c r="I45" s="5"/>
      <c r="J45" s="5"/>
      <c r="K45" s="39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</row>
    <row r="46" spans="1:60" s="40" customFormat="1" ht="15.75" x14ac:dyDescent="0.25">
      <c r="A46" s="35">
        <v>42</v>
      </c>
      <c r="B46" s="41"/>
      <c r="C46" s="37" t="s">
        <v>67</v>
      </c>
      <c r="D46" s="29">
        <v>1494088</v>
      </c>
      <c r="E46" s="5"/>
      <c r="F46" s="5"/>
      <c r="G46" s="5"/>
      <c r="H46" s="5"/>
      <c r="I46" s="5"/>
      <c r="J46" s="5"/>
      <c r="K46" s="39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</row>
    <row r="47" spans="1:60" s="40" customFormat="1" ht="15.75" x14ac:dyDescent="0.25">
      <c r="A47" s="35">
        <v>43</v>
      </c>
      <c r="B47" s="41"/>
      <c r="C47" s="37" t="s">
        <v>68</v>
      </c>
      <c r="D47" s="29">
        <v>651221</v>
      </c>
      <c r="E47" s="5"/>
      <c r="F47" s="5"/>
      <c r="G47" s="5"/>
      <c r="H47" s="5"/>
      <c r="I47" s="5"/>
      <c r="J47" s="5"/>
      <c r="K47" s="39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</row>
    <row r="48" spans="1:60" s="40" customFormat="1" ht="15.75" x14ac:dyDescent="0.25">
      <c r="A48" s="35">
        <v>44</v>
      </c>
      <c r="B48" s="41"/>
      <c r="C48" s="37" t="s">
        <v>70</v>
      </c>
      <c r="D48" s="29">
        <v>314868</v>
      </c>
      <c r="E48" s="5"/>
      <c r="F48" s="5"/>
      <c r="G48" s="5"/>
      <c r="H48" s="5"/>
      <c r="I48" s="5"/>
      <c r="J48" s="5"/>
      <c r="K48" s="39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</row>
    <row r="49" spans="1:60" s="40" customFormat="1" ht="15.75" x14ac:dyDescent="0.25">
      <c r="A49" s="35">
        <v>45</v>
      </c>
      <c r="B49" s="41"/>
      <c r="C49" s="37" t="s">
        <v>71</v>
      </c>
      <c r="D49" s="29">
        <v>150000</v>
      </c>
      <c r="E49" s="5"/>
      <c r="F49" s="5"/>
      <c r="G49" s="5"/>
      <c r="H49" s="5"/>
      <c r="I49" s="5"/>
      <c r="J49" s="5"/>
      <c r="K49" s="39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</row>
    <row r="50" spans="1:60" s="40" customFormat="1" ht="15.75" x14ac:dyDescent="0.25">
      <c r="A50" s="35">
        <v>46</v>
      </c>
      <c r="B50" s="41"/>
      <c r="C50" s="37" t="s">
        <v>72</v>
      </c>
      <c r="D50" s="29">
        <v>159202</v>
      </c>
      <c r="E50" s="5"/>
      <c r="F50" s="5"/>
      <c r="G50" s="5"/>
      <c r="H50" s="5"/>
      <c r="I50" s="5"/>
      <c r="J50" s="5"/>
      <c r="K50" s="39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</row>
    <row r="51" spans="1:60" s="40" customFormat="1" ht="15.75" x14ac:dyDescent="0.25">
      <c r="A51" s="35">
        <v>47</v>
      </c>
      <c r="B51" s="36">
        <v>46154</v>
      </c>
      <c r="C51" s="37" t="s">
        <v>138</v>
      </c>
      <c r="D51" s="5"/>
      <c r="E51" s="5"/>
      <c r="F51" s="5"/>
      <c r="G51" s="5"/>
      <c r="H51" s="5"/>
      <c r="I51" s="5"/>
      <c r="J51" s="44">
        <v>1175000</v>
      </c>
      <c r="K51" s="39" t="s">
        <v>139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</row>
    <row r="52" spans="1:60" s="40" customFormat="1" ht="15.75" x14ac:dyDescent="0.25">
      <c r="A52" s="35">
        <v>48</v>
      </c>
      <c r="B52" s="41"/>
      <c r="C52" s="37" t="s">
        <v>36</v>
      </c>
      <c r="D52" s="5"/>
      <c r="E52" s="38">
        <v>181999</v>
      </c>
      <c r="F52" s="5"/>
      <c r="G52" s="5"/>
      <c r="H52" s="5"/>
      <c r="I52" s="5"/>
      <c r="J52" s="5"/>
      <c r="K52" s="39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</row>
    <row r="53" spans="1:60" s="40" customFormat="1" ht="15.75" x14ac:dyDescent="0.25">
      <c r="A53" s="35">
        <v>49</v>
      </c>
      <c r="B53" s="41"/>
      <c r="C53" s="37" t="s">
        <v>140</v>
      </c>
      <c r="D53" s="5"/>
      <c r="E53" s="5"/>
      <c r="F53" s="42">
        <v>213904</v>
      </c>
      <c r="G53" s="5"/>
      <c r="H53" s="5"/>
      <c r="I53" s="5"/>
      <c r="J53" s="5"/>
      <c r="K53" s="39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</row>
    <row r="54" spans="1:60" s="40" customFormat="1" ht="15.75" x14ac:dyDescent="0.25">
      <c r="A54" s="35">
        <v>50</v>
      </c>
      <c r="B54" s="41"/>
      <c r="C54" s="37" t="s">
        <v>73</v>
      </c>
      <c r="D54" s="29">
        <v>185978</v>
      </c>
      <c r="E54" s="5"/>
      <c r="F54" s="5"/>
      <c r="G54" s="5"/>
      <c r="H54" s="5"/>
      <c r="I54" s="5"/>
      <c r="J54" s="5"/>
      <c r="K54" s="39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</row>
    <row r="55" spans="1:60" s="40" customFormat="1" ht="15.75" x14ac:dyDescent="0.25">
      <c r="A55" s="35">
        <v>51</v>
      </c>
      <c r="B55" s="41"/>
      <c r="C55" s="37" t="s">
        <v>141</v>
      </c>
      <c r="D55" s="29">
        <v>250000</v>
      </c>
      <c r="E55" s="5"/>
      <c r="F55" s="5"/>
      <c r="G55" s="5"/>
      <c r="H55" s="5"/>
      <c r="I55" s="5"/>
      <c r="J55" s="5"/>
      <c r="K55" s="39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</row>
    <row r="56" spans="1:60" s="40" customFormat="1" ht="15.75" x14ac:dyDescent="0.25">
      <c r="A56" s="35">
        <v>52</v>
      </c>
      <c r="B56" s="41"/>
      <c r="C56" s="37" t="s">
        <v>74</v>
      </c>
      <c r="D56" s="29">
        <v>159202</v>
      </c>
      <c r="E56" s="5"/>
      <c r="F56" s="5"/>
      <c r="G56" s="5"/>
      <c r="H56" s="5"/>
      <c r="I56" s="5"/>
      <c r="J56" s="5"/>
      <c r="K56" s="39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</row>
    <row r="57" spans="1:60" s="40" customFormat="1" ht="15.75" x14ac:dyDescent="0.25">
      <c r="A57" s="35">
        <v>53</v>
      </c>
      <c r="B57" s="41"/>
      <c r="C57" s="37" t="s">
        <v>75</v>
      </c>
      <c r="D57" s="29">
        <v>765113</v>
      </c>
      <c r="E57" s="5"/>
      <c r="F57" s="5"/>
      <c r="G57" s="5"/>
      <c r="H57" s="5"/>
      <c r="I57" s="5"/>
      <c r="J57" s="5"/>
      <c r="K57" s="39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</row>
    <row r="58" spans="1:60" s="40" customFormat="1" ht="15.75" x14ac:dyDescent="0.25">
      <c r="A58" s="35">
        <v>54</v>
      </c>
      <c r="B58" s="36">
        <v>46155</v>
      </c>
      <c r="C58" s="37" t="s">
        <v>76</v>
      </c>
      <c r="D58" s="29">
        <v>328697</v>
      </c>
      <c r="E58" s="5"/>
      <c r="F58" s="5"/>
      <c r="G58" s="5"/>
      <c r="H58" s="5"/>
      <c r="I58" s="5"/>
      <c r="J58" s="5"/>
      <c r="K58" s="39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</row>
    <row r="59" spans="1:60" s="40" customFormat="1" ht="15.75" x14ac:dyDescent="0.25">
      <c r="A59" s="35">
        <v>55</v>
      </c>
      <c r="B59" s="36">
        <v>46156</v>
      </c>
      <c r="C59" s="37" t="s">
        <v>77</v>
      </c>
      <c r="D59" s="29">
        <v>250000</v>
      </c>
      <c r="E59" s="5"/>
      <c r="F59" s="5"/>
      <c r="G59" s="5"/>
      <c r="H59" s="5"/>
      <c r="I59" s="5"/>
      <c r="J59" s="5"/>
      <c r="K59" s="39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</row>
    <row r="60" spans="1:60" s="40" customFormat="1" ht="15.75" x14ac:dyDescent="0.25">
      <c r="A60" s="35">
        <v>56</v>
      </c>
      <c r="B60" s="41"/>
      <c r="C60" s="37" t="s">
        <v>78</v>
      </c>
      <c r="D60" s="29">
        <v>651221</v>
      </c>
      <c r="E60" s="5"/>
      <c r="F60" s="5"/>
      <c r="G60" s="5"/>
      <c r="H60" s="5"/>
      <c r="I60" s="5"/>
      <c r="J60" s="5"/>
      <c r="K60" s="39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</row>
    <row r="61" spans="1:60" s="40" customFormat="1" ht="15.75" x14ac:dyDescent="0.25">
      <c r="A61" s="35">
        <v>57</v>
      </c>
      <c r="B61" s="41"/>
      <c r="C61" s="37" t="s">
        <v>79</v>
      </c>
      <c r="D61" s="29">
        <v>425569</v>
      </c>
      <c r="E61" s="5"/>
      <c r="F61" s="5"/>
      <c r="G61" s="5"/>
      <c r="H61" s="5"/>
      <c r="I61" s="5"/>
      <c r="J61" s="5"/>
      <c r="K61" s="39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</row>
    <row r="62" spans="1:60" s="40" customFormat="1" ht="15.75" x14ac:dyDescent="0.25">
      <c r="A62" s="35">
        <v>58</v>
      </c>
      <c r="B62" s="41"/>
      <c r="C62" s="37" t="s">
        <v>80</v>
      </c>
      <c r="D62" s="29">
        <v>651221</v>
      </c>
      <c r="E62" s="5"/>
      <c r="F62" s="5"/>
      <c r="G62" s="5"/>
      <c r="H62" s="5"/>
      <c r="I62" s="5"/>
      <c r="J62" s="5"/>
      <c r="K62" s="39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</row>
    <row r="63" spans="1:60" s="40" customFormat="1" ht="15.75" x14ac:dyDescent="0.25">
      <c r="A63" s="35">
        <v>59</v>
      </c>
      <c r="B63" s="41"/>
      <c r="C63" s="37" t="s">
        <v>81</v>
      </c>
      <c r="D63" s="29">
        <v>294906</v>
      </c>
      <c r="E63" s="5"/>
      <c r="F63" s="5"/>
      <c r="G63" s="5"/>
      <c r="H63" s="5"/>
      <c r="I63" s="5"/>
      <c r="J63" s="5"/>
      <c r="K63" s="39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</row>
    <row r="64" spans="1:60" s="40" customFormat="1" ht="15.75" x14ac:dyDescent="0.25">
      <c r="A64" s="35">
        <v>60</v>
      </c>
      <c r="B64" s="41"/>
      <c r="C64" s="37" t="s">
        <v>82</v>
      </c>
      <c r="D64" s="29">
        <v>382729</v>
      </c>
      <c r="E64" s="5"/>
      <c r="F64" s="5"/>
      <c r="G64" s="5"/>
      <c r="H64" s="5"/>
      <c r="I64" s="5"/>
      <c r="J64" s="5"/>
      <c r="K64" s="39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</row>
    <row r="65" spans="1:60" s="40" customFormat="1" ht="15.75" x14ac:dyDescent="0.25">
      <c r="A65" s="35">
        <v>61</v>
      </c>
      <c r="B65" s="36">
        <v>46157</v>
      </c>
      <c r="C65" s="37" t="s">
        <v>83</v>
      </c>
      <c r="D65" s="29">
        <v>503008</v>
      </c>
      <c r="E65" s="5"/>
      <c r="F65" s="5"/>
      <c r="G65" s="5"/>
      <c r="H65" s="5"/>
      <c r="I65" s="5"/>
      <c r="J65" s="5"/>
      <c r="K65" s="39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</row>
    <row r="66" spans="1:60" s="40" customFormat="1" ht="15.75" x14ac:dyDescent="0.25">
      <c r="A66" s="35">
        <v>62</v>
      </c>
      <c r="B66" s="41"/>
      <c r="C66" s="37" t="s">
        <v>84</v>
      </c>
      <c r="D66" s="29">
        <v>150000</v>
      </c>
      <c r="E66" s="5"/>
      <c r="F66" s="5"/>
      <c r="G66" s="5"/>
      <c r="H66" s="5"/>
      <c r="I66" s="5"/>
      <c r="J66" s="5"/>
      <c r="K66" s="39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</row>
    <row r="67" spans="1:60" s="40" customFormat="1" ht="15.75" x14ac:dyDescent="0.25">
      <c r="A67" s="35">
        <v>63</v>
      </c>
      <c r="B67" s="41"/>
      <c r="C67" s="37" t="s">
        <v>85</v>
      </c>
      <c r="D67" s="29">
        <v>169073</v>
      </c>
      <c r="E67" s="5"/>
      <c r="F67" s="5"/>
      <c r="G67" s="5"/>
      <c r="H67" s="5"/>
      <c r="I67" s="5"/>
      <c r="J67" s="5"/>
      <c r="K67" s="39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</row>
    <row r="68" spans="1:60" s="40" customFormat="1" ht="15.75" x14ac:dyDescent="0.25">
      <c r="A68" s="35">
        <v>64</v>
      </c>
      <c r="B68" s="41"/>
      <c r="C68" s="37" t="s">
        <v>86</v>
      </c>
      <c r="D68" s="29">
        <v>250000</v>
      </c>
      <c r="E68" s="5"/>
      <c r="F68" s="5"/>
      <c r="G68" s="5"/>
      <c r="H68" s="5"/>
      <c r="I68" s="5"/>
      <c r="J68" s="5"/>
      <c r="K68" s="39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</row>
    <row r="69" spans="1:60" s="40" customFormat="1" ht="15.75" x14ac:dyDescent="0.25">
      <c r="A69" s="35">
        <v>65</v>
      </c>
      <c r="B69" s="36">
        <v>46158</v>
      </c>
      <c r="C69" s="37" t="s">
        <v>37</v>
      </c>
      <c r="D69" s="5"/>
      <c r="E69" s="38">
        <v>443879</v>
      </c>
      <c r="F69" s="5"/>
      <c r="G69" s="5"/>
      <c r="H69" s="5"/>
      <c r="I69" s="5"/>
      <c r="J69" s="5"/>
      <c r="K69" s="39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</row>
    <row r="70" spans="1:60" s="40" customFormat="1" ht="15.75" x14ac:dyDescent="0.25">
      <c r="A70" s="35">
        <v>66</v>
      </c>
      <c r="B70" s="41"/>
      <c r="C70" s="37" t="s">
        <v>142</v>
      </c>
      <c r="D70" s="5"/>
      <c r="E70" s="5"/>
      <c r="F70" s="5"/>
      <c r="G70" s="5"/>
      <c r="H70" s="5"/>
      <c r="I70" s="5"/>
      <c r="J70" s="44">
        <v>1950000</v>
      </c>
      <c r="K70" s="39" t="s">
        <v>143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</row>
    <row r="71" spans="1:60" s="40" customFormat="1" ht="15.75" x14ac:dyDescent="0.25">
      <c r="A71" s="35">
        <v>67</v>
      </c>
      <c r="B71" s="36">
        <v>46159</v>
      </c>
      <c r="C71" s="37" t="s">
        <v>87</v>
      </c>
      <c r="D71" s="29">
        <v>150000</v>
      </c>
      <c r="E71" s="5"/>
      <c r="F71" s="5"/>
      <c r="G71" s="5"/>
      <c r="H71" s="5"/>
      <c r="I71" s="5"/>
      <c r="J71" s="5"/>
      <c r="K71" s="39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</row>
    <row r="72" spans="1:60" s="40" customFormat="1" ht="15.75" x14ac:dyDescent="0.25">
      <c r="A72" s="35">
        <v>68</v>
      </c>
      <c r="B72" s="36">
        <v>46161</v>
      </c>
      <c r="C72" s="37" t="s">
        <v>144</v>
      </c>
      <c r="D72" s="5"/>
      <c r="E72" s="5"/>
      <c r="F72" s="42">
        <v>159533</v>
      </c>
      <c r="G72" s="5"/>
      <c r="H72" s="5"/>
      <c r="I72" s="5"/>
      <c r="J72" s="5"/>
      <c r="K72" s="39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</row>
    <row r="73" spans="1:60" s="40" customFormat="1" ht="15.75" x14ac:dyDescent="0.25">
      <c r="A73" s="35">
        <v>69</v>
      </c>
      <c r="B73" s="41"/>
      <c r="C73" s="37" t="s">
        <v>145</v>
      </c>
      <c r="D73" s="5"/>
      <c r="E73" s="5"/>
      <c r="F73" s="42">
        <v>218875</v>
      </c>
      <c r="G73" s="5"/>
      <c r="H73" s="5"/>
      <c r="I73" s="5"/>
      <c r="J73" s="5"/>
      <c r="K73" s="39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</row>
    <row r="74" spans="1:60" s="40" customFormat="1" ht="15.75" x14ac:dyDescent="0.25">
      <c r="A74" s="35">
        <v>70</v>
      </c>
      <c r="B74" s="41"/>
      <c r="C74" s="37" t="s">
        <v>146</v>
      </c>
      <c r="D74" s="5"/>
      <c r="E74" s="5"/>
      <c r="F74" s="42">
        <v>213862</v>
      </c>
      <c r="G74" s="5"/>
      <c r="H74" s="5"/>
      <c r="I74" s="5"/>
      <c r="J74" s="5"/>
      <c r="K74" s="39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</row>
    <row r="75" spans="1:60" s="40" customFormat="1" ht="15.75" x14ac:dyDescent="0.25">
      <c r="A75" s="35">
        <v>71</v>
      </c>
      <c r="B75" s="41"/>
      <c r="C75" s="37" t="s">
        <v>88</v>
      </c>
      <c r="D75" s="29">
        <v>250000</v>
      </c>
      <c r="E75" s="5"/>
      <c r="F75" s="5"/>
      <c r="G75" s="5"/>
      <c r="H75" s="5"/>
      <c r="I75" s="5"/>
      <c r="J75" s="5"/>
      <c r="K75" s="39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</row>
    <row r="76" spans="1:60" s="40" customFormat="1" ht="15.75" x14ac:dyDescent="0.25">
      <c r="A76" s="35">
        <v>72</v>
      </c>
      <c r="B76" s="41"/>
      <c r="C76" s="37" t="s">
        <v>89</v>
      </c>
      <c r="D76" s="29">
        <v>595093</v>
      </c>
      <c r="E76" s="5"/>
      <c r="F76" s="5"/>
      <c r="G76" s="5"/>
      <c r="H76" s="5"/>
      <c r="I76" s="5"/>
      <c r="J76" s="5"/>
      <c r="K76" s="39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</row>
    <row r="77" spans="1:60" s="40" customFormat="1" ht="15.75" x14ac:dyDescent="0.25">
      <c r="A77" s="35">
        <v>73</v>
      </c>
      <c r="B77" s="41"/>
      <c r="C77" s="37" t="s">
        <v>90</v>
      </c>
      <c r="D77" s="29">
        <v>150000</v>
      </c>
      <c r="E77" s="5"/>
      <c r="F77" s="5"/>
      <c r="G77" s="5"/>
      <c r="H77" s="5"/>
      <c r="I77" s="5"/>
      <c r="J77" s="5"/>
      <c r="K77" s="39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 s="40" customFormat="1" ht="15.75" x14ac:dyDescent="0.25">
      <c r="A78" s="35">
        <v>74</v>
      </c>
      <c r="B78" s="41"/>
      <c r="C78" s="37" t="s">
        <v>91</v>
      </c>
      <c r="D78" s="29">
        <v>250000</v>
      </c>
      <c r="E78" s="5"/>
      <c r="F78" s="5"/>
      <c r="G78" s="5"/>
      <c r="H78" s="5"/>
      <c r="I78" s="5"/>
      <c r="J78" s="5"/>
      <c r="K78" s="39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</row>
    <row r="79" spans="1:60" s="40" customFormat="1" ht="15.75" x14ac:dyDescent="0.25">
      <c r="A79" s="35">
        <v>75</v>
      </c>
      <c r="B79" s="41"/>
      <c r="C79" s="37" t="s">
        <v>50</v>
      </c>
      <c r="D79" s="29">
        <v>233743</v>
      </c>
      <c r="E79" s="5"/>
      <c r="F79" s="5"/>
      <c r="G79" s="47"/>
      <c r="H79" s="5"/>
      <c r="I79" s="5"/>
      <c r="J79" s="5"/>
      <c r="K79" s="39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</row>
    <row r="80" spans="1:60" s="40" customFormat="1" ht="15.75" x14ac:dyDescent="0.25">
      <c r="A80" s="35">
        <v>76</v>
      </c>
      <c r="B80" s="36">
        <v>46162</v>
      </c>
      <c r="C80" s="37" t="s">
        <v>147</v>
      </c>
      <c r="D80" s="5"/>
      <c r="E80" s="5"/>
      <c r="F80" s="5"/>
      <c r="G80" s="47"/>
      <c r="H80" s="5"/>
      <c r="I80" s="5"/>
      <c r="J80" s="44">
        <v>2262500</v>
      </c>
      <c r="K80" s="39" t="s">
        <v>143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</row>
    <row r="81" spans="1:60" s="40" customFormat="1" ht="15.75" x14ac:dyDescent="0.25">
      <c r="A81" s="35">
        <v>77</v>
      </c>
      <c r="B81" s="41"/>
      <c r="C81" s="37" t="s">
        <v>92</v>
      </c>
      <c r="D81" s="29">
        <v>150000</v>
      </c>
      <c r="E81" s="5"/>
      <c r="F81" s="5"/>
      <c r="G81" s="47"/>
      <c r="H81" s="5"/>
      <c r="I81" s="5"/>
      <c r="J81" s="5"/>
      <c r="K81" s="39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</row>
    <row r="82" spans="1:60" s="40" customFormat="1" ht="15.75" x14ac:dyDescent="0.25">
      <c r="A82" s="35">
        <v>78</v>
      </c>
      <c r="B82" s="41"/>
      <c r="C82" s="37" t="s">
        <v>93</v>
      </c>
      <c r="D82" s="29">
        <v>226604</v>
      </c>
      <c r="E82" s="5"/>
      <c r="F82" s="5"/>
      <c r="G82" s="47"/>
      <c r="H82" s="5"/>
      <c r="I82" s="5"/>
      <c r="J82" s="5"/>
      <c r="K82" s="39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</row>
    <row r="83" spans="1:60" s="40" customFormat="1" ht="15.75" x14ac:dyDescent="0.25">
      <c r="A83" s="35">
        <v>79</v>
      </c>
      <c r="B83" s="41"/>
      <c r="C83" s="37" t="s">
        <v>94</v>
      </c>
      <c r="D83" s="29">
        <v>333461</v>
      </c>
      <c r="E83" s="5"/>
      <c r="F83" s="5"/>
      <c r="G83" s="48"/>
      <c r="H83" s="5"/>
      <c r="I83" s="5"/>
      <c r="J83" s="5"/>
      <c r="K83" s="39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</row>
    <row r="84" spans="1:60" s="40" customFormat="1" ht="15.75" x14ac:dyDescent="0.25">
      <c r="A84" s="35">
        <v>80</v>
      </c>
      <c r="B84" s="41"/>
      <c r="C84" s="37" t="s">
        <v>98</v>
      </c>
      <c r="D84" s="5"/>
      <c r="E84" s="5"/>
      <c r="F84" s="5"/>
      <c r="G84" s="43">
        <v>315719</v>
      </c>
      <c r="H84" s="5"/>
      <c r="I84" s="5"/>
      <c r="J84" s="5"/>
      <c r="K84" s="39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</row>
    <row r="85" spans="1:60" s="40" customFormat="1" ht="15.75" x14ac:dyDescent="0.25">
      <c r="A85" s="35">
        <v>81</v>
      </c>
      <c r="B85" s="36">
        <v>46163</v>
      </c>
      <c r="C85" s="37" t="s">
        <v>95</v>
      </c>
      <c r="D85" s="29">
        <v>483022</v>
      </c>
      <c r="E85" s="5"/>
      <c r="F85" s="5"/>
      <c r="G85" s="48"/>
      <c r="H85" s="5"/>
      <c r="I85" s="5"/>
      <c r="J85" s="5"/>
      <c r="K85" s="39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</row>
    <row r="86" spans="1:60" s="40" customFormat="1" ht="15.75" x14ac:dyDescent="0.25">
      <c r="A86" s="35">
        <v>82</v>
      </c>
      <c r="B86" s="41"/>
      <c r="C86" s="37" t="s">
        <v>104</v>
      </c>
      <c r="D86" s="29">
        <v>539102</v>
      </c>
      <c r="E86" s="5"/>
      <c r="F86" s="5"/>
      <c r="G86" s="48"/>
      <c r="H86" s="5"/>
      <c r="I86" s="5"/>
      <c r="J86" s="5"/>
      <c r="K86" s="39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</row>
    <row r="87" spans="1:60" s="40" customFormat="1" ht="15.75" x14ac:dyDescent="0.25">
      <c r="A87" s="35">
        <v>83</v>
      </c>
      <c r="B87" s="41"/>
      <c r="C87" s="37" t="s">
        <v>105</v>
      </c>
      <c r="D87" s="29">
        <v>367349</v>
      </c>
      <c r="E87" s="5"/>
      <c r="F87" s="5"/>
      <c r="G87" s="48"/>
      <c r="H87" s="5"/>
      <c r="I87" s="5"/>
      <c r="J87" s="5"/>
      <c r="K87" s="39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</row>
    <row r="88" spans="1:60" s="40" customFormat="1" ht="15.75" x14ac:dyDescent="0.25">
      <c r="A88" s="35">
        <v>84</v>
      </c>
      <c r="B88" s="36">
        <v>46164</v>
      </c>
      <c r="C88" s="37" t="s">
        <v>148</v>
      </c>
      <c r="D88" s="5"/>
      <c r="E88" s="5"/>
      <c r="F88" s="5"/>
      <c r="G88" s="48"/>
      <c r="H88" s="5"/>
      <c r="I88" s="5"/>
      <c r="J88" s="44">
        <v>652079</v>
      </c>
      <c r="K88" s="39" t="s">
        <v>137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</row>
    <row r="89" spans="1:60" s="40" customFormat="1" ht="15.75" x14ac:dyDescent="0.25">
      <c r="A89" s="35">
        <v>85</v>
      </c>
      <c r="B89" s="41"/>
      <c r="C89" s="37" t="s">
        <v>101</v>
      </c>
      <c r="D89" s="29">
        <v>702943</v>
      </c>
      <c r="E89" s="5"/>
      <c r="F89" s="5"/>
      <c r="G89" s="48"/>
      <c r="H89" s="5"/>
      <c r="I89" s="5"/>
      <c r="J89" s="5"/>
      <c r="K89" s="39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</row>
    <row r="90" spans="1:60" s="40" customFormat="1" ht="15.75" x14ac:dyDescent="0.25">
      <c r="A90" s="35">
        <v>86</v>
      </c>
      <c r="B90" s="41"/>
      <c r="C90" s="37" t="s">
        <v>102</v>
      </c>
      <c r="D90" s="29">
        <v>150000</v>
      </c>
      <c r="E90" s="5"/>
      <c r="F90" s="5"/>
      <c r="G90" s="48"/>
      <c r="H90" s="5"/>
      <c r="I90" s="5"/>
      <c r="J90" s="5"/>
      <c r="K90" s="39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</row>
    <row r="91" spans="1:60" s="40" customFormat="1" ht="15.75" x14ac:dyDescent="0.25">
      <c r="A91" s="35">
        <v>87</v>
      </c>
      <c r="B91" s="41"/>
      <c r="C91" s="37" t="s">
        <v>76</v>
      </c>
      <c r="D91" s="29">
        <v>255649</v>
      </c>
      <c r="E91" s="5"/>
      <c r="F91" s="5"/>
      <c r="G91" s="5"/>
      <c r="H91" s="5"/>
      <c r="I91" s="5"/>
      <c r="J91" s="5"/>
      <c r="K91" s="39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</row>
    <row r="92" spans="1:60" s="40" customFormat="1" ht="15.75" x14ac:dyDescent="0.25">
      <c r="A92" s="35">
        <v>88</v>
      </c>
      <c r="B92" s="41"/>
      <c r="C92" s="37" t="s">
        <v>103</v>
      </c>
      <c r="D92" s="29">
        <v>150000</v>
      </c>
      <c r="E92" s="5"/>
      <c r="F92" s="5"/>
      <c r="G92" s="5"/>
      <c r="H92" s="5"/>
      <c r="I92" s="5"/>
      <c r="J92" s="5"/>
      <c r="K92" s="39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</row>
    <row r="93" spans="1:60" s="40" customFormat="1" ht="15.75" x14ac:dyDescent="0.25">
      <c r="A93" s="35">
        <v>89</v>
      </c>
      <c r="B93" s="41"/>
      <c r="C93" s="37" t="s">
        <v>149</v>
      </c>
      <c r="D93" s="5"/>
      <c r="E93" s="5"/>
      <c r="F93" s="5"/>
      <c r="G93" s="5"/>
      <c r="H93" s="38">
        <v>2919150</v>
      </c>
      <c r="I93" s="5"/>
      <c r="J93" s="5"/>
      <c r="K93" s="39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</row>
    <row r="94" spans="1:60" s="40" customFormat="1" ht="15.75" x14ac:dyDescent="0.25">
      <c r="A94" s="35">
        <v>90</v>
      </c>
      <c r="B94" s="36">
        <v>46165</v>
      </c>
      <c r="C94" s="37" t="s">
        <v>150</v>
      </c>
      <c r="D94" s="5"/>
      <c r="E94" s="5"/>
      <c r="F94" s="5"/>
      <c r="G94" s="5"/>
      <c r="H94" s="5"/>
      <c r="I94" s="5"/>
      <c r="J94" s="44">
        <v>398597</v>
      </c>
      <c r="K94" s="39" t="s">
        <v>137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</row>
    <row r="95" spans="1:60" s="40" customFormat="1" ht="15.75" x14ac:dyDescent="0.25">
      <c r="A95" s="35">
        <v>91</v>
      </c>
      <c r="B95" s="36">
        <v>46167</v>
      </c>
      <c r="C95" s="37" t="s">
        <v>61</v>
      </c>
      <c r="D95" s="29">
        <v>150000</v>
      </c>
      <c r="E95" s="5"/>
      <c r="F95" s="5"/>
      <c r="G95" s="5"/>
      <c r="H95" s="5"/>
      <c r="I95" s="5"/>
      <c r="J95" s="5"/>
      <c r="K95" s="39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</row>
    <row r="96" spans="1:60" s="40" customFormat="1" ht="15.75" x14ac:dyDescent="0.25">
      <c r="A96" s="35">
        <v>92</v>
      </c>
      <c r="B96" s="41"/>
      <c r="C96" s="37" t="s">
        <v>151</v>
      </c>
      <c r="D96" s="5"/>
      <c r="E96" s="5"/>
      <c r="F96" s="42">
        <v>234080</v>
      </c>
      <c r="G96" s="5"/>
      <c r="H96" s="5"/>
      <c r="I96" s="5"/>
      <c r="J96" s="5"/>
      <c r="K96" s="39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</row>
    <row r="97" spans="1:60" s="40" customFormat="1" ht="15.75" x14ac:dyDescent="0.25">
      <c r="A97" s="35">
        <v>93</v>
      </c>
      <c r="B97" s="41"/>
      <c r="C97" s="37" t="s">
        <v>113</v>
      </c>
      <c r="D97" s="5"/>
      <c r="E97" s="38">
        <v>132381</v>
      </c>
      <c r="F97" s="5"/>
      <c r="G97" s="5"/>
      <c r="H97" s="5"/>
      <c r="I97" s="5"/>
      <c r="J97" s="5"/>
      <c r="K97" s="39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</row>
    <row r="98" spans="1:60" s="40" customFormat="1" ht="15.75" x14ac:dyDescent="0.25">
      <c r="A98" s="35">
        <v>94</v>
      </c>
      <c r="B98" s="41"/>
      <c r="C98" s="37" t="s">
        <v>112</v>
      </c>
      <c r="D98" s="29">
        <v>150000</v>
      </c>
      <c r="E98" s="5"/>
      <c r="F98" s="5"/>
      <c r="G98" s="5"/>
      <c r="H98" s="5"/>
      <c r="I98" s="5"/>
      <c r="J98" s="5"/>
      <c r="K98" s="39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</row>
    <row r="99" spans="1:60" s="40" customFormat="1" ht="15.75" x14ac:dyDescent="0.25">
      <c r="A99" s="35">
        <v>95</v>
      </c>
      <c r="B99" s="41"/>
      <c r="C99" s="37" t="s">
        <v>111</v>
      </c>
      <c r="D99" s="5"/>
      <c r="E99" s="5"/>
      <c r="F99" s="5"/>
      <c r="G99" s="43">
        <v>98511</v>
      </c>
      <c r="H99" s="5"/>
      <c r="I99" s="5"/>
      <c r="J99" s="5"/>
      <c r="K99" s="39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</row>
    <row r="100" spans="1:60" s="40" customFormat="1" ht="15.75" x14ac:dyDescent="0.25">
      <c r="A100" s="35">
        <v>96</v>
      </c>
      <c r="B100" s="41"/>
      <c r="C100" s="37" t="s">
        <v>152</v>
      </c>
      <c r="D100" s="5"/>
      <c r="E100" s="5"/>
      <c r="F100" s="5"/>
      <c r="G100" s="5"/>
      <c r="H100" s="5"/>
      <c r="I100" s="5"/>
      <c r="J100" s="44">
        <v>49892</v>
      </c>
      <c r="K100" s="39" t="s">
        <v>137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</row>
    <row r="101" spans="1:60" s="40" customFormat="1" ht="15.75" x14ac:dyDescent="0.25">
      <c r="A101" s="35">
        <v>97</v>
      </c>
      <c r="B101" s="36">
        <v>46168</v>
      </c>
      <c r="C101" s="37" t="s">
        <v>153</v>
      </c>
      <c r="D101" s="5"/>
      <c r="E101" s="5"/>
      <c r="F101" s="42">
        <v>539271</v>
      </c>
      <c r="G101" s="5"/>
      <c r="H101" s="5"/>
      <c r="I101" s="5"/>
      <c r="J101" s="5"/>
      <c r="K101" s="39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</row>
    <row r="102" spans="1:60" s="40" customFormat="1" ht="15.75" x14ac:dyDescent="0.25">
      <c r="A102" s="35">
        <v>98</v>
      </c>
      <c r="B102" s="41"/>
      <c r="C102" s="37" t="s">
        <v>115</v>
      </c>
      <c r="D102" s="29">
        <v>525569</v>
      </c>
      <c r="E102" s="5"/>
      <c r="F102" s="5"/>
      <c r="G102" s="5"/>
      <c r="H102" s="5"/>
      <c r="I102" s="5"/>
      <c r="J102" s="5"/>
      <c r="K102" s="39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</row>
    <row r="103" spans="1:60" s="40" customFormat="1" ht="15.75" x14ac:dyDescent="0.25">
      <c r="A103" s="35">
        <v>99</v>
      </c>
      <c r="B103" s="41"/>
      <c r="C103" s="37" t="s">
        <v>116</v>
      </c>
      <c r="D103" s="5"/>
      <c r="E103" s="5"/>
      <c r="F103" s="5"/>
      <c r="G103" s="5"/>
      <c r="H103" s="38">
        <v>9769549</v>
      </c>
      <c r="I103" s="5"/>
      <c r="J103" s="5"/>
      <c r="K103" s="39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</row>
    <row r="104" spans="1:60" s="40" customFormat="1" ht="15.75" x14ac:dyDescent="0.25">
      <c r="A104" s="35">
        <v>100</v>
      </c>
      <c r="B104" s="41"/>
      <c r="C104" s="37" t="s">
        <v>154</v>
      </c>
      <c r="D104" s="5"/>
      <c r="E104" s="5"/>
      <c r="F104" s="5"/>
      <c r="G104" s="5"/>
      <c r="H104" s="38">
        <v>1220000</v>
      </c>
      <c r="I104" s="5"/>
      <c r="J104" s="5"/>
      <c r="K104" s="39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</row>
    <row r="105" spans="1:60" s="40" customFormat="1" ht="15.75" x14ac:dyDescent="0.25">
      <c r="A105" s="35">
        <v>101</v>
      </c>
      <c r="B105" s="36">
        <v>46170</v>
      </c>
      <c r="C105" s="37" t="s">
        <v>117</v>
      </c>
      <c r="D105" s="29">
        <v>150000</v>
      </c>
      <c r="E105" s="5"/>
      <c r="F105" s="5"/>
      <c r="G105" s="5"/>
      <c r="H105" s="5"/>
      <c r="I105" s="5"/>
      <c r="J105" s="5"/>
      <c r="K105" s="39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</row>
    <row r="106" spans="1:60" s="40" customFormat="1" ht="15.75" x14ac:dyDescent="0.25">
      <c r="A106" s="35">
        <v>102</v>
      </c>
      <c r="B106" s="41"/>
      <c r="C106" s="37" t="s">
        <v>60</v>
      </c>
      <c r="D106" s="29">
        <v>250000</v>
      </c>
      <c r="E106" s="5"/>
      <c r="F106" s="5"/>
      <c r="G106" s="5"/>
      <c r="H106" s="5"/>
      <c r="I106" s="5"/>
      <c r="J106" s="5"/>
      <c r="K106" s="39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</row>
    <row r="107" spans="1:60" s="40" customFormat="1" ht="15.75" x14ac:dyDescent="0.25">
      <c r="A107" s="35">
        <v>103</v>
      </c>
      <c r="B107" s="41"/>
      <c r="C107" s="37" t="s">
        <v>118</v>
      </c>
      <c r="D107" s="29">
        <v>517044</v>
      </c>
      <c r="E107" s="5"/>
      <c r="F107" s="5"/>
      <c r="G107" s="5"/>
      <c r="H107" s="5"/>
      <c r="I107" s="5"/>
      <c r="J107" s="5"/>
      <c r="K107" s="39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</row>
    <row r="108" spans="1:60" s="40" customFormat="1" ht="15.75" x14ac:dyDescent="0.25">
      <c r="A108" s="35">
        <v>104</v>
      </c>
      <c r="B108" s="36">
        <v>46171</v>
      </c>
      <c r="C108" s="37" t="s">
        <v>114</v>
      </c>
      <c r="D108" s="29">
        <v>152696</v>
      </c>
      <c r="E108" s="5"/>
      <c r="F108" s="5"/>
      <c r="G108" s="5"/>
      <c r="H108" s="5"/>
      <c r="I108" s="5"/>
      <c r="J108" s="5"/>
      <c r="K108" s="39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</row>
    <row r="109" spans="1:60" s="40" customFormat="1" ht="15.75" x14ac:dyDescent="0.25">
      <c r="A109" s="35">
        <v>105</v>
      </c>
      <c r="B109" s="41"/>
      <c r="C109" s="37" t="s">
        <v>119</v>
      </c>
      <c r="D109" s="29">
        <v>150000</v>
      </c>
      <c r="E109" s="5"/>
      <c r="F109" s="5"/>
      <c r="G109" s="5"/>
      <c r="H109" s="5"/>
      <c r="I109" s="5"/>
      <c r="J109" s="5"/>
      <c r="K109" s="39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</row>
    <row r="110" spans="1:60" s="40" customFormat="1" ht="15.75" x14ac:dyDescent="0.25">
      <c r="A110" s="35">
        <v>106</v>
      </c>
      <c r="B110" s="41"/>
      <c r="C110" s="37" t="s">
        <v>155</v>
      </c>
      <c r="D110" s="5"/>
      <c r="E110" s="5"/>
      <c r="F110" s="5"/>
      <c r="G110" s="5"/>
      <c r="H110" s="5"/>
      <c r="I110" s="5"/>
      <c r="J110" s="44">
        <v>469062</v>
      </c>
      <c r="K110" s="39" t="s">
        <v>137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</row>
    <row r="111" spans="1:60" s="40" customFormat="1" ht="15.75" x14ac:dyDescent="0.25">
      <c r="A111" s="35">
        <v>107</v>
      </c>
      <c r="B111" s="41"/>
      <c r="C111" s="37" t="s">
        <v>120</v>
      </c>
      <c r="D111" s="29">
        <v>479344</v>
      </c>
      <c r="E111" s="5"/>
      <c r="F111" s="5"/>
      <c r="G111" s="5"/>
      <c r="H111" s="5"/>
      <c r="I111" s="5"/>
      <c r="J111" s="5"/>
      <c r="K111" s="39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</row>
    <row r="112" spans="1:60" s="40" customFormat="1" ht="15.75" x14ac:dyDescent="0.25">
      <c r="A112" s="35">
        <v>108</v>
      </c>
      <c r="B112" s="41"/>
      <c r="C112" s="37" t="s">
        <v>121</v>
      </c>
      <c r="D112" s="29">
        <v>176163</v>
      </c>
      <c r="E112" s="5"/>
      <c r="F112" s="5"/>
      <c r="G112" s="5"/>
      <c r="H112" s="5"/>
      <c r="I112" s="5"/>
      <c r="J112" s="5"/>
      <c r="K112" s="39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</row>
    <row r="113" spans="1:60" s="40" customFormat="1" ht="15.75" x14ac:dyDescent="0.25">
      <c r="A113" s="35">
        <v>109</v>
      </c>
      <c r="B113" s="41"/>
      <c r="C113" s="37" t="s">
        <v>122</v>
      </c>
      <c r="D113" s="29">
        <v>523222</v>
      </c>
      <c r="E113" s="5"/>
      <c r="F113" s="5"/>
      <c r="G113" s="5"/>
      <c r="H113" s="5"/>
      <c r="I113" s="5"/>
      <c r="J113" s="5"/>
      <c r="K113" s="39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</row>
    <row r="114" spans="1:60" s="40" customFormat="1" ht="15.75" x14ac:dyDescent="0.25">
      <c r="A114" s="35">
        <v>110</v>
      </c>
      <c r="B114" s="41"/>
      <c r="C114" s="37" t="s">
        <v>123</v>
      </c>
      <c r="D114" s="29">
        <v>250000</v>
      </c>
      <c r="E114" s="5"/>
      <c r="F114" s="5"/>
      <c r="G114" s="5"/>
      <c r="H114" s="5"/>
      <c r="I114" s="5"/>
      <c r="J114" s="5"/>
      <c r="K114" s="3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</row>
    <row r="115" spans="1:60" s="40" customFormat="1" x14ac:dyDescent="0.25">
      <c r="A115" s="35">
        <v>111</v>
      </c>
      <c r="B115" s="36">
        <v>46172</v>
      </c>
      <c r="C115" s="46" t="s">
        <v>124</v>
      </c>
      <c r="D115" s="29">
        <v>305012</v>
      </c>
      <c r="E115" s="5"/>
      <c r="F115" s="5"/>
      <c r="G115" s="5"/>
      <c r="H115" s="5"/>
      <c r="I115" s="5"/>
      <c r="J115" s="5"/>
      <c r="K115" s="3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</row>
    <row r="116" spans="1:60" s="40" customFormat="1" ht="15.75" thickBot="1" x14ac:dyDescent="0.3">
      <c r="A116" s="35">
        <v>112</v>
      </c>
      <c r="B116" s="36">
        <v>46173</v>
      </c>
      <c r="C116" s="46" t="s">
        <v>125</v>
      </c>
      <c r="D116" s="5"/>
      <c r="E116" s="5"/>
      <c r="F116" s="5"/>
      <c r="G116" s="5"/>
      <c r="H116" s="38">
        <v>10000000</v>
      </c>
      <c r="I116" s="5"/>
      <c r="J116" s="5"/>
      <c r="K116" s="39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</row>
    <row r="117" spans="1:60" s="40" customFormat="1" ht="16.5" customHeight="1" x14ac:dyDescent="0.25">
      <c r="A117" s="116" t="s">
        <v>6</v>
      </c>
      <c r="B117" s="117"/>
      <c r="C117" s="117" t="s">
        <v>156</v>
      </c>
      <c r="D117" s="49">
        <f>SUM(D5:D116)</f>
        <v>23923347</v>
      </c>
      <c r="E117" s="49">
        <f t="shared" ref="E117:J117" si="0">SUM(E5:E116)</f>
        <v>898259</v>
      </c>
      <c r="F117" s="49">
        <f t="shared" si="0"/>
        <v>3528865</v>
      </c>
      <c r="G117" s="49">
        <f t="shared" si="0"/>
        <v>553343</v>
      </c>
      <c r="H117" s="49">
        <f t="shared" si="0"/>
        <v>30505979</v>
      </c>
      <c r="I117" s="49">
        <f t="shared" si="0"/>
        <v>4277342</v>
      </c>
      <c r="J117" s="49">
        <f t="shared" si="0"/>
        <v>7730130</v>
      </c>
      <c r="K117" s="50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</row>
    <row r="118" spans="1:60" s="40" customFormat="1" ht="30.75" customHeight="1" thickBot="1" x14ac:dyDescent="0.3">
      <c r="A118" s="118"/>
      <c r="B118" s="119"/>
      <c r="C118" s="119"/>
      <c r="D118" s="120">
        <f>SUM(D117:J117)</f>
        <v>71417265</v>
      </c>
      <c r="E118" s="120"/>
      <c r="F118" s="120"/>
      <c r="G118" s="120"/>
      <c r="H118" s="120"/>
      <c r="I118" s="120"/>
      <c r="J118" s="120"/>
      <c r="K118" s="12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</row>
    <row r="119" spans="1:60" x14ac:dyDescent="0.25">
      <c r="C119" s="3"/>
      <c r="K119" s="4"/>
    </row>
    <row r="120" spans="1:60" x14ac:dyDescent="0.25">
      <c r="C120" s="3"/>
      <c r="K120" s="4"/>
    </row>
    <row r="121" spans="1:60" x14ac:dyDescent="0.25">
      <c r="C121" s="3"/>
      <c r="K121" s="4"/>
    </row>
    <row r="122" spans="1:60" x14ac:dyDescent="0.25">
      <c r="C122" s="3"/>
      <c r="K122" s="4"/>
    </row>
    <row r="123" spans="1:60" x14ac:dyDescent="0.25">
      <c r="C123" s="3"/>
      <c r="K123" s="4"/>
    </row>
    <row r="124" spans="1:60" x14ac:dyDescent="0.25">
      <c r="C124" s="3"/>
      <c r="K124" s="4"/>
    </row>
    <row r="125" spans="1:60" ht="15" customHeight="1" x14ac:dyDescent="0.25">
      <c r="C125" s="3"/>
      <c r="K125" s="4"/>
    </row>
    <row r="126" spans="1:60" ht="15" customHeight="1" x14ac:dyDescent="0.25">
      <c r="C126" s="3"/>
      <c r="K126" s="4"/>
    </row>
    <row r="127" spans="1:60" x14ac:dyDescent="0.25">
      <c r="C127" s="3"/>
      <c r="K127" s="4"/>
    </row>
    <row r="128" spans="1:60" ht="15" customHeight="1" x14ac:dyDescent="0.25">
      <c r="C128" s="3"/>
      <c r="K128" s="4"/>
    </row>
    <row r="129" spans="3:11" x14ac:dyDescent="0.25">
      <c r="C129" s="3"/>
      <c r="K129" s="4"/>
    </row>
  </sheetData>
  <mergeCells count="10">
    <mergeCell ref="A117:B118"/>
    <mergeCell ref="C117:C118"/>
    <mergeCell ref="D118:K118"/>
    <mergeCell ref="A1:K1"/>
    <mergeCell ref="A2:K2"/>
    <mergeCell ref="A3:A4"/>
    <mergeCell ref="B3:B4"/>
    <mergeCell ref="C3:C4"/>
    <mergeCell ref="D3:J3"/>
    <mergeCell ref="K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</vt:lpstr>
      <vt:lpstr>TRANSFERAN</vt:lpstr>
      <vt:lpstr>TO!Print_Area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saepulloh nurraffandi</cp:lastModifiedBy>
  <cp:lastPrinted>2026-04-03T05:26:28Z</cp:lastPrinted>
  <dcterms:created xsi:type="dcterms:W3CDTF">2019-08-22T09:46:00Z</dcterms:created>
  <dcterms:modified xsi:type="dcterms:W3CDTF">2026-07-04T18:00:13Z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1033-11.2.0.8991</vt:lpwstr>
  </property>
</Properties>
</file>